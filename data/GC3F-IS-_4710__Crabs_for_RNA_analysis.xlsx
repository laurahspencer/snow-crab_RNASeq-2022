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laura.spencer\Work\snow-crab_RNASeq-2022\data\"/>
    </mc:Choice>
  </mc:AlternateContent>
  <xr:revisionPtr revIDLastSave="0" documentId="13_ncr:1_{A0A10B0B-FAF8-479F-94C1-B4ECE5EF19F6}" xr6:coauthVersionLast="36" xr6:coauthVersionMax="36" xr10:uidLastSave="{00000000-0000-0000-0000-000000000000}"/>
  <bookViews>
    <workbookView xWindow="0" yWindow="0" windowWidth="21570" windowHeight="9285" tabRatio="500" activeTab="2" xr2:uid="{00000000-000D-0000-FFFF-FFFF00000000}"/>
  </bookViews>
  <sheets>
    <sheet name="Sheet1" sheetId="1" r:id="rId1"/>
    <sheet name="ExtractionPrint" sheetId="2" r:id="rId2"/>
    <sheet name="Prep_data" sheetId="3" r:id="rId3"/>
    <sheet name="NuGen mRNA prep" sheetId="4" r:id="rId4"/>
    <sheet name="Sheet2" sheetId="5" r:id="rId5"/>
  </sheets>
  <definedNames>
    <definedName name="_xlnm.Print_Titles" localSheetId="2">Prep_data!$B:$C,Prep_data!$1:$3</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25" i="4" l="1"/>
  <c r="D124" i="4"/>
  <c r="D123" i="4"/>
  <c r="D122" i="4"/>
  <c r="D121" i="4"/>
  <c r="D111" i="4"/>
  <c r="D110" i="4"/>
  <c r="D107" i="4"/>
  <c r="D106" i="4"/>
  <c r="D105" i="4"/>
  <c r="D102" i="4"/>
  <c r="D101" i="4"/>
  <c r="D100" i="4"/>
  <c r="D90" i="4"/>
  <c r="D89" i="4"/>
  <c r="D86" i="4"/>
  <c r="D85" i="4"/>
  <c r="D84" i="4"/>
  <c r="D80" i="4"/>
  <c r="D79" i="4"/>
  <c r="D73" i="4"/>
  <c r="D72" i="4"/>
  <c r="F67" i="4"/>
  <c r="E67" i="4"/>
  <c r="D67" i="4"/>
  <c r="F66" i="4"/>
  <c r="E66" i="4"/>
  <c r="D66" i="4"/>
  <c r="F65" i="4"/>
  <c r="E65" i="4"/>
  <c r="D65" i="4"/>
  <c r="F64" i="4"/>
  <c r="E64" i="4"/>
  <c r="D64" i="4"/>
  <c r="F63" i="4"/>
  <c r="E63" i="4"/>
  <c r="D63" i="4"/>
  <c r="F62" i="4"/>
  <c r="E62" i="4"/>
  <c r="D62" i="4"/>
  <c r="F61" i="4"/>
  <c r="E61" i="4"/>
  <c r="D61" i="4"/>
  <c r="F60" i="4"/>
  <c r="E60" i="4"/>
  <c r="D60" i="4"/>
  <c r="F59" i="4"/>
  <c r="E59" i="4"/>
  <c r="D59" i="4"/>
  <c r="F58" i="4"/>
  <c r="E58" i="4"/>
  <c r="D58" i="4"/>
  <c r="F57" i="4"/>
  <c r="E57" i="4"/>
  <c r="D57" i="4"/>
  <c r="F56" i="4"/>
  <c r="E56" i="4"/>
  <c r="D56" i="4"/>
  <c r="F55" i="4"/>
  <c r="E55" i="4"/>
  <c r="D55" i="4"/>
  <c r="F54" i="4"/>
  <c r="E54" i="4"/>
  <c r="D54" i="4"/>
  <c r="F53" i="4"/>
  <c r="E53" i="4"/>
  <c r="D53" i="4"/>
  <c r="F52" i="4"/>
  <c r="E52" i="4"/>
  <c r="D52" i="4"/>
  <c r="F51" i="4"/>
  <c r="E51" i="4"/>
  <c r="D51" i="4"/>
  <c r="F50" i="4"/>
  <c r="E50" i="4"/>
  <c r="D50" i="4"/>
  <c r="F49" i="4"/>
  <c r="E49" i="4"/>
  <c r="D49" i="4"/>
  <c r="F48" i="4"/>
  <c r="E48" i="4"/>
  <c r="D48" i="4"/>
  <c r="F47" i="4"/>
  <c r="E47" i="4"/>
  <c r="D47" i="4"/>
  <c r="F46" i="4"/>
  <c r="E46" i="4"/>
  <c r="D46" i="4"/>
  <c r="F45" i="4"/>
  <c r="E45" i="4"/>
  <c r="D45" i="4"/>
  <c r="F44" i="4"/>
  <c r="E44" i="4"/>
  <c r="D44" i="4"/>
  <c r="F43" i="4"/>
  <c r="E43" i="4"/>
  <c r="D43" i="4"/>
  <c r="F42" i="4"/>
  <c r="E42" i="4"/>
  <c r="D42" i="4"/>
  <c r="F41" i="4"/>
  <c r="E41" i="4"/>
  <c r="D41" i="4"/>
  <c r="F40" i="4"/>
  <c r="E40" i="4"/>
  <c r="D40" i="4"/>
  <c r="F39" i="4"/>
  <c r="E39" i="4"/>
  <c r="D39" i="4"/>
  <c r="F38" i="4"/>
  <c r="E38" i="4"/>
  <c r="D38" i="4"/>
  <c r="F37" i="4"/>
  <c r="E37" i="4"/>
  <c r="D37" i="4"/>
  <c r="F36" i="4"/>
  <c r="E36" i="4"/>
  <c r="D36" i="4"/>
  <c r="F35" i="4"/>
  <c r="E35" i="4"/>
  <c r="D35" i="4"/>
  <c r="F34" i="4"/>
  <c r="E34" i="4"/>
  <c r="D34" i="4"/>
  <c r="F33" i="4"/>
  <c r="E33" i="4"/>
  <c r="D33" i="4"/>
  <c r="F32" i="4"/>
  <c r="E32" i="4"/>
  <c r="D32" i="4"/>
  <c r="F31" i="4"/>
  <c r="E31" i="4"/>
  <c r="D31" i="4"/>
  <c r="F30" i="4"/>
  <c r="E30" i="4"/>
  <c r="D30" i="4"/>
  <c r="F29" i="4"/>
  <c r="E29" i="4"/>
  <c r="D29" i="4"/>
  <c r="F28" i="4"/>
  <c r="E28" i="4"/>
  <c r="D28" i="4"/>
  <c r="F27" i="4"/>
  <c r="E27" i="4"/>
  <c r="D27" i="4"/>
  <c r="F26" i="4"/>
  <c r="E26" i="4"/>
  <c r="D26" i="4"/>
  <c r="F25" i="4"/>
  <c r="E25" i="4"/>
  <c r="D25" i="4"/>
  <c r="F24" i="4"/>
  <c r="E24" i="4"/>
  <c r="D24" i="4"/>
  <c r="F23" i="4"/>
  <c r="E23" i="4"/>
  <c r="D23" i="4"/>
  <c r="F22" i="4"/>
  <c r="E22" i="4"/>
  <c r="D22" i="4"/>
  <c r="F21" i="4"/>
  <c r="E21" i="4"/>
  <c r="D21" i="4"/>
  <c r="F20" i="4"/>
  <c r="E20" i="4"/>
  <c r="D20" i="4"/>
  <c r="F19" i="4"/>
  <c r="E19" i="4"/>
  <c r="D19" i="4"/>
  <c r="F18" i="4"/>
  <c r="E18" i="4"/>
  <c r="D18" i="4"/>
  <c r="F17" i="4"/>
  <c r="E17" i="4"/>
  <c r="D17" i="4"/>
  <c r="F16" i="4"/>
  <c r="E16" i="4"/>
  <c r="D16" i="4"/>
  <c r="F15" i="4"/>
  <c r="E15" i="4"/>
  <c r="D15" i="4"/>
  <c r="F14" i="4"/>
  <c r="E14" i="4"/>
  <c r="D14" i="4"/>
  <c r="F13" i="4"/>
  <c r="E13" i="4"/>
  <c r="D13" i="4"/>
  <c r="F12" i="4"/>
  <c r="E12" i="4"/>
  <c r="D12" i="4"/>
  <c r="F11" i="4"/>
  <c r="E11" i="4"/>
  <c r="D11" i="4"/>
  <c r="F10" i="4"/>
  <c r="E10" i="4"/>
  <c r="D10" i="4"/>
  <c r="F9" i="4"/>
  <c r="E9" i="4"/>
  <c r="D9" i="4"/>
  <c r="F8" i="4"/>
  <c r="E8" i="4"/>
  <c r="D8" i="4"/>
  <c r="F7" i="4"/>
  <c r="E7" i="4"/>
  <c r="D7" i="4"/>
  <c r="F6" i="4"/>
  <c r="E6" i="4"/>
  <c r="D6" i="4"/>
  <c r="F5" i="4"/>
  <c r="E5" i="4"/>
  <c r="D5" i="4"/>
  <c r="F4" i="4"/>
  <c r="E4" i="4"/>
  <c r="D4" i="4"/>
  <c r="W67" i="3"/>
  <c r="P67" i="3"/>
  <c r="O67" i="3"/>
  <c r="L67" i="3"/>
  <c r="K67" i="3"/>
  <c r="W66" i="3"/>
  <c r="P66" i="3"/>
  <c r="O66" i="3"/>
  <c r="N66" i="3"/>
  <c r="L66" i="3"/>
  <c r="K66" i="3"/>
  <c r="W65" i="3"/>
  <c r="N65" i="3"/>
  <c r="P65" i="3" s="1"/>
  <c r="L65" i="3"/>
  <c r="K65" i="3"/>
  <c r="W64" i="3"/>
  <c r="O64" i="3"/>
  <c r="N64" i="3"/>
  <c r="K64" i="3"/>
  <c r="P64" i="3" s="1"/>
  <c r="W63" i="3"/>
  <c r="P63" i="3"/>
  <c r="O63" i="3"/>
  <c r="N63" i="3"/>
  <c r="L63" i="3"/>
  <c r="K63" i="3"/>
  <c r="W62" i="3"/>
  <c r="N62" i="3"/>
  <c r="P62" i="3" s="1"/>
  <c r="L62" i="3"/>
  <c r="K62" i="3"/>
  <c r="W61" i="3"/>
  <c r="N61" i="3"/>
  <c r="O61" i="3" s="1"/>
  <c r="K61" i="3"/>
  <c r="P61" i="3" s="1"/>
  <c r="W60" i="3"/>
  <c r="O60" i="3"/>
  <c r="N60" i="3"/>
  <c r="K60" i="3"/>
  <c r="P60" i="3" s="1"/>
  <c r="W59" i="3"/>
  <c r="P59" i="3"/>
  <c r="O59" i="3"/>
  <c r="N59" i="3"/>
  <c r="L59" i="3"/>
  <c r="K59" i="3"/>
  <c r="W58" i="3"/>
  <c r="N58" i="3"/>
  <c r="P58" i="3" s="1"/>
  <c r="L58" i="3"/>
  <c r="K58" i="3"/>
  <c r="W57" i="3"/>
  <c r="N57" i="3"/>
  <c r="O57" i="3" s="1"/>
  <c r="K57" i="3"/>
  <c r="P57" i="3" s="1"/>
  <c r="W56" i="3"/>
  <c r="O56" i="3"/>
  <c r="N56" i="3"/>
  <c r="K56" i="3"/>
  <c r="P56" i="3" s="1"/>
  <c r="W55" i="3"/>
  <c r="P55" i="3"/>
  <c r="O55" i="3"/>
  <c r="N55" i="3"/>
  <c r="L55" i="3"/>
  <c r="K55" i="3"/>
  <c r="W54" i="3"/>
  <c r="O54" i="3"/>
  <c r="L54" i="3"/>
  <c r="K54" i="3"/>
  <c r="P54" i="3" s="1"/>
  <c r="W53" i="3"/>
  <c r="N53" i="3"/>
  <c r="O53" i="3" s="1"/>
  <c r="L53" i="3"/>
  <c r="K53" i="3"/>
  <c r="P53" i="3" s="1"/>
  <c r="W52" i="3"/>
  <c r="P52" i="3"/>
  <c r="N52" i="3"/>
  <c r="O52" i="3" s="1"/>
  <c r="K52" i="3"/>
  <c r="L52" i="3" s="1"/>
  <c r="W51" i="3"/>
  <c r="O51" i="3"/>
  <c r="N51" i="3"/>
  <c r="K51" i="3"/>
  <c r="L51" i="3" s="1"/>
  <c r="W50" i="3"/>
  <c r="O50" i="3"/>
  <c r="N50" i="3"/>
  <c r="L50" i="3"/>
  <c r="K50" i="3"/>
  <c r="P50" i="3" s="1"/>
  <c r="W49" i="3"/>
  <c r="N49" i="3"/>
  <c r="O49" i="3" s="1"/>
  <c r="L49" i="3"/>
  <c r="K49" i="3"/>
  <c r="P49" i="3" s="1"/>
  <c r="W48" i="3"/>
  <c r="P48" i="3"/>
  <c r="N48" i="3"/>
  <c r="O48" i="3" s="1"/>
  <c r="K48" i="3"/>
  <c r="L48" i="3" s="1"/>
  <c r="W47" i="3"/>
  <c r="O47" i="3"/>
  <c r="N47" i="3"/>
  <c r="K47" i="3"/>
  <c r="L47" i="3" s="1"/>
  <c r="W46" i="3"/>
  <c r="O46" i="3"/>
  <c r="N46" i="3"/>
  <c r="L46" i="3"/>
  <c r="K46" i="3"/>
  <c r="P46" i="3" s="1"/>
  <c r="W45" i="3"/>
  <c r="P45" i="3"/>
  <c r="N45" i="3"/>
  <c r="O45" i="3" s="1"/>
  <c r="L45" i="3"/>
  <c r="K45" i="3"/>
  <c r="W44" i="3"/>
  <c r="P44" i="3"/>
  <c r="N44" i="3"/>
  <c r="O44" i="3" s="1"/>
  <c r="K44" i="3"/>
  <c r="L44" i="3" s="1"/>
  <c r="W43" i="3"/>
  <c r="O43" i="3"/>
  <c r="N43" i="3"/>
  <c r="K43" i="3"/>
  <c r="L43" i="3" s="1"/>
  <c r="W42" i="3"/>
  <c r="O42" i="3"/>
  <c r="N42" i="3"/>
  <c r="L42" i="3"/>
  <c r="K42" i="3"/>
  <c r="P42" i="3" s="1"/>
  <c r="W41" i="3"/>
  <c r="P41" i="3"/>
  <c r="N41" i="3"/>
  <c r="O41" i="3" s="1"/>
  <c r="L41" i="3"/>
  <c r="K41" i="3"/>
  <c r="W40" i="3"/>
  <c r="P40" i="3"/>
  <c r="N40" i="3"/>
  <c r="O40" i="3" s="1"/>
  <c r="K40" i="3"/>
  <c r="L40" i="3" s="1"/>
  <c r="W39" i="3"/>
  <c r="O39" i="3"/>
  <c r="N39" i="3"/>
  <c r="K39" i="3"/>
  <c r="L39" i="3" s="1"/>
  <c r="W38" i="3"/>
  <c r="O38" i="3"/>
  <c r="N38" i="3"/>
  <c r="L38" i="3"/>
  <c r="K38" i="3"/>
  <c r="P38" i="3" s="1"/>
  <c r="W37" i="3"/>
  <c r="P37" i="3"/>
  <c r="N37" i="3"/>
  <c r="O37" i="3" s="1"/>
  <c r="L37" i="3"/>
  <c r="K37" i="3"/>
  <c r="W36" i="3"/>
  <c r="P36" i="3"/>
  <c r="O36" i="3"/>
  <c r="N36" i="3"/>
  <c r="K36" i="3"/>
  <c r="L36" i="3" s="1"/>
  <c r="W35" i="3"/>
  <c r="O35" i="3"/>
  <c r="N35" i="3"/>
  <c r="L35" i="3"/>
  <c r="K35" i="3"/>
  <c r="P35" i="3" s="1"/>
  <c r="W34" i="3"/>
  <c r="O34" i="3"/>
  <c r="N34" i="3"/>
  <c r="L34" i="3"/>
  <c r="K34" i="3"/>
  <c r="P34" i="3" s="1"/>
  <c r="W33" i="3"/>
  <c r="P33" i="3"/>
  <c r="N33" i="3"/>
  <c r="O33" i="3" s="1"/>
  <c r="L33" i="3"/>
  <c r="K33" i="3"/>
  <c r="W32" i="3"/>
  <c r="P32" i="3"/>
  <c r="O32" i="3"/>
  <c r="N32" i="3"/>
  <c r="K32" i="3"/>
  <c r="L32" i="3" s="1"/>
  <c r="W31" i="3"/>
  <c r="O31" i="3"/>
  <c r="N31" i="3"/>
  <c r="L31" i="3"/>
  <c r="K31" i="3"/>
  <c r="P31" i="3" s="1"/>
  <c r="W30" i="3"/>
  <c r="O30" i="3"/>
  <c r="N30" i="3"/>
  <c r="L30" i="3"/>
  <c r="K30" i="3"/>
  <c r="P30" i="3" s="1"/>
  <c r="W29" i="3"/>
  <c r="P29" i="3"/>
  <c r="N29" i="3"/>
  <c r="O29" i="3" s="1"/>
  <c r="L29" i="3"/>
  <c r="K29" i="3"/>
  <c r="W28" i="3"/>
  <c r="P28" i="3"/>
  <c r="O28" i="3"/>
  <c r="N28" i="3"/>
  <c r="K28" i="3"/>
  <c r="L28" i="3" s="1"/>
  <c r="W27" i="3"/>
  <c r="O27" i="3"/>
  <c r="N27" i="3"/>
  <c r="L27" i="3"/>
  <c r="K27" i="3"/>
  <c r="P27" i="3" s="1"/>
  <c r="W26" i="3"/>
  <c r="O26" i="3"/>
  <c r="N26" i="3"/>
  <c r="L26" i="3"/>
  <c r="K26" i="3"/>
  <c r="P26" i="3" s="1"/>
  <c r="W25" i="3"/>
  <c r="P25" i="3"/>
  <c r="N25" i="3"/>
  <c r="O25" i="3" s="1"/>
  <c r="L25" i="3"/>
  <c r="K25" i="3"/>
  <c r="W24" i="3"/>
  <c r="P24" i="3"/>
  <c r="O24" i="3"/>
  <c r="N24" i="3"/>
  <c r="K24" i="3"/>
  <c r="L24" i="3" s="1"/>
  <c r="W23" i="3"/>
  <c r="O23" i="3"/>
  <c r="N23" i="3"/>
  <c r="L23" i="3"/>
  <c r="K23" i="3"/>
  <c r="P23" i="3" s="1"/>
  <c r="W22" i="3"/>
  <c r="O22" i="3"/>
  <c r="N22" i="3"/>
  <c r="L22" i="3"/>
  <c r="K22" i="3"/>
  <c r="P22" i="3" s="1"/>
  <c r="W21" i="3"/>
  <c r="P21" i="3"/>
  <c r="N21" i="3"/>
  <c r="O21" i="3" s="1"/>
  <c r="L21" i="3"/>
  <c r="K21" i="3"/>
  <c r="W20" i="3"/>
  <c r="P20" i="3"/>
  <c r="O20" i="3"/>
  <c r="N20" i="3"/>
  <c r="K20" i="3"/>
  <c r="L20" i="3" s="1"/>
  <c r="W19" i="3"/>
  <c r="O19" i="3"/>
  <c r="N19" i="3"/>
  <c r="K19" i="3"/>
  <c r="L19" i="3" s="1"/>
  <c r="W18" i="3"/>
  <c r="O18" i="3"/>
  <c r="N18" i="3"/>
  <c r="L18" i="3"/>
  <c r="K18" i="3"/>
  <c r="P18" i="3" s="1"/>
  <c r="W17" i="3"/>
  <c r="P17" i="3"/>
  <c r="N17" i="3"/>
  <c r="O17" i="3" s="1"/>
  <c r="L17" i="3"/>
  <c r="K17" i="3"/>
  <c r="W16" i="3"/>
  <c r="P16" i="3"/>
  <c r="N16" i="3"/>
  <c r="O16" i="3" s="1"/>
  <c r="K16" i="3"/>
  <c r="L16" i="3" s="1"/>
  <c r="W15" i="3"/>
  <c r="O15" i="3"/>
  <c r="N15" i="3"/>
  <c r="K15" i="3"/>
  <c r="L15" i="3" s="1"/>
  <c r="W14" i="3"/>
  <c r="O14" i="3"/>
  <c r="N14" i="3"/>
  <c r="L14" i="3"/>
  <c r="K14" i="3"/>
  <c r="P14" i="3" s="1"/>
  <c r="W13" i="3"/>
  <c r="P13" i="3"/>
  <c r="N13" i="3"/>
  <c r="O13" i="3" s="1"/>
  <c r="L13" i="3"/>
  <c r="K13" i="3"/>
  <c r="W12" i="3"/>
  <c r="P12" i="3"/>
  <c r="N12" i="3"/>
  <c r="O12" i="3" s="1"/>
  <c r="K12" i="3"/>
  <c r="L12" i="3" s="1"/>
  <c r="W11" i="3"/>
  <c r="O11" i="3"/>
  <c r="N11" i="3"/>
  <c r="K11" i="3"/>
  <c r="L11" i="3" s="1"/>
  <c r="W10" i="3"/>
  <c r="O10" i="3"/>
  <c r="N10" i="3"/>
  <c r="L10" i="3"/>
  <c r="K10" i="3"/>
  <c r="P10" i="3" s="1"/>
  <c r="W9" i="3"/>
  <c r="N9" i="3"/>
  <c r="O9" i="3" s="1"/>
  <c r="L9" i="3"/>
  <c r="K9" i="3"/>
  <c r="P9" i="3" s="1"/>
  <c r="W8" i="3"/>
  <c r="P8" i="3"/>
  <c r="N8" i="3"/>
  <c r="O8" i="3" s="1"/>
  <c r="K8" i="3"/>
  <c r="L8" i="3" s="1"/>
  <c r="W7" i="3"/>
  <c r="O7" i="3"/>
  <c r="N7" i="3"/>
  <c r="K7" i="3"/>
  <c r="L7" i="3" s="1"/>
  <c r="W6" i="3"/>
  <c r="N6" i="3"/>
  <c r="O6" i="3" s="1"/>
  <c r="L6" i="3"/>
  <c r="K6" i="3"/>
  <c r="P6" i="3" s="1"/>
  <c r="W5" i="3"/>
  <c r="N5" i="3"/>
  <c r="O5" i="3" s="1"/>
  <c r="K5" i="3"/>
  <c r="P5" i="3" s="1"/>
  <c r="W4" i="3"/>
  <c r="P4" i="3"/>
  <c r="N4" i="3"/>
  <c r="O4" i="3" s="1"/>
  <c r="K4" i="3"/>
  <c r="L4" i="3" s="1"/>
  <c r="D33" i="2"/>
  <c r="I32" i="2"/>
  <c r="D32" i="2"/>
  <c r="I31" i="2"/>
  <c r="D31" i="2"/>
  <c r="I30" i="2"/>
  <c r="D30" i="2"/>
  <c r="I29" i="2"/>
  <c r="D29" i="2"/>
  <c r="I28" i="2"/>
  <c r="D28" i="2"/>
  <c r="I27" i="2"/>
  <c r="D27" i="2"/>
  <c r="I26" i="2"/>
  <c r="D26" i="2"/>
  <c r="I25" i="2"/>
  <c r="D25" i="2"/>
  <c r="I24" i="2"/>
  <c r="D24" i="2"/>
  <c r="I23" i="2"/>
  <c r="D23" i="2"/>
  <c r="I22" i="2"/>
  <c r="D22" i="2"/>
  <c r="I21" i="2"/>
  <c r="D21" i="2"/>
  <c r="I20" i="2"/>
  <c r="D20" i="2"/>
  <c r="I19" i="2"/>
  <c r="D19" i="2"/>
  <c r="I18" i="2"/>
  <c r="D18" i="2"/>
  <c r="I17" i="2"/>
  <c r="D17" i="2"/>
  <c r="I16" i="2"/>
  <c r="D16" i="2"/>
  <c r="I15" i="2"/>
  <c r="D15" i="2"/>
  <c r="I14" i="2"/>
  <c r="D14" i="2"/>
  <c r="I13" i="2"/>
  <c r="D13" i="2"/>
  <c r="I12" i="2"/>
  <c r="D12" i="2"/>
  <c r="I11" i="2"/>
  <c r="D11" i="2"/>
  <c r="I10" i="2"/>
  <c r="D10" i="2"/>
  <c r="I9" i="2"/>
  <c r="D9" i="2"/>
  <c r="I8" i="2"/>
  <c r="D8" i="2"/>
  <c r="I7" i="2"/>
  <c r="D7" i="2"/>
  <c r="I6" i="2"/>
  <c r="D6" i="2"/>
  <c r="I5" i="2"/>
  <c r="D5" i="2"/>
  <c r="I4" i="2"/>
  <c r="D4" i="2"/>
  <c r="I3" i="2"/>
  <c r="D3" i="2"/>
  <c r="I2" i="2"/>
  <c r="D2" i="2"/>
  <c r="P7" i="3" l="1"/>
  <c r="P11" i="3"/>
  <c r="P15" i="3"/>
  <c r="P19" i="3"/>
  <c r="P39" i="3"/>
  <c r="P43" i="3"/>
  <c r="P47" i="3"/>
  <c r="P51" i="3"/>
  <c r="L57" i="3"/>
  <c r="O58" i="3"/>
  <c r="L61" i="3"/>
  <c r="O62" i="3"/>
  <c r="L5" i="3"/>
  <c r="L56" i="3"/>
  <c r="L60" i="3"/>
  <c r="L64" i="3"/>
  <c r="O65" i="3"/>
</calcChain>
</file>

<file path=xl/sharedStrings.xml><?xml version="1.0" encoding="utf-8"?>
<sst xmlns="http://schemas.openxmlformats.org/spreadsheetml/2006/main" count="806" uniqueCount="267">
  <si>
    <t>Snow Crab Juveniles- m-RNA analysis samples</t>
  </si>
  <si>
    <t xml:space="preserve">All crabs were starved for 24 h.  Short-term crabs were then transferred from Ambient to </t>
  </si>
  <si>
    <t xml:space="preserve">pH 7.8 and 7.5 tanks and exposed for 8h.  Then all crabs were sacrificed by puncturing the </t>
  </si>
  <si>
    <t xml:space="preserve">carapace throught the cardiac region and preserved in RNA Later overnight at 4C prior to </t>
  </si>
  <si>
    <t>being transferred to -80C.  Long duration is ~12 weeks, short 8 h.</t>
  </si>
  <si>
    <t>All crabs sacrificed on 7/20/2021</t>
  </si>
  <si>
    <t>Crab #</t>
  </si>
  <si>
    <t>pH treatment</t>
  </si>
  <si>
    <t>Exposure duration</t>
  </si>
  <si>
    <t>Ambient</t>
  </si>
  <si>
    <t>N/A</t>
  </si>
  <si>
    <t>pH 7.5</t>
  </si>
  <si>
    <t>Long</t>
  </si>
  <si>
    <t>Short</t>
  </si>
  <si>
    <t>pH 7.8</t>
  </si>
  <si>
    <t>BigTube#</t>
  </si>
  <si>
    <t>INITIAL QC, 12/8/2021</t>
  </si>
  <si>
    <t>Qubit</t>
  </si>
  <si>
    <t xml:space="preserve">ss RNA FA </t>
  </si>
  <si>
    <t>Norm for prep, 12/13/2021</t>
  </si>
  <si>
    <t>Post-prep FA, 12/15/2021</t>
  </si>
  <si>
    <t>Number</t>
  </si>
  <si>
    <t>Original Number</t>
  </si>
  <si>
    <t>Sample 50mL Tube Number</t>
  </si>
  <si>
    <t>Extraction Batch</t>
  </si>
  <si>
    <t>Extracted'd vol (uL)</t>
  </si>
  <si>
    <t>Volume Used for quantit</t>
  </si>
  <si>
    <t>Conc (ng/uL)</t>
  </si>
  <si>
    <t>Volume used for FA</t>
  </si>
  <si>
    <t>RQN</t>
  </si>
  <si>
    <t>Vol left after QC (uL)</t>
  </si>
  <si>
    <t>rNA left after QC (ng)</t>
  </si>
  <si>
    <t>Desired RNA for prep (ng)</t>
  </si>
  <si>
    <t>Pull vol (uL)</t>
  </si>
  <si>
    <t>Vol H2O to add (uL)</t>
  </si>
  <si>
    <t>Sample vol left (uL)</t>
  </si>
  <si>
    <r>
      <rPr>
        <b/>
        <sz val="11"/>
        <color rgb="FF000000"/>
        <rFont val="Calibri"/>
        <family val="2"/>
      </rPr>
      <t xml:space="preserve">adapter well used </t>
    </r>
    <r>
      <rPr>
        <i/>
        <sz val="8"/>
        <color rgb="FF000000"/>
        <rFont val="Calibri"/>
        <family val="2"/>
      </rPr>
      <t>(NEW UNIQUE DUAL MATCHED  PLATE!)</t>
    </r>
  </si>
  <si>
    <t># PCR cycs</t>
  </si>
  <si>
    <t>Final elute vol (uL)</t>
  </si>
  <si>
    <t>Actual conc, qubit (ng/uL)</t>
  </si>
  <si>
    <t>Conc (nM)       in 50-1000 bp</t>
  </si>
  <si>
    <t>Avg length (bp) in 50-1000 bp</t>
  </si>
  <si>
    <t>Avg length (bp) - 130 bp</t>
  </si>
  <si>
    <t>IS #1</t>
  </si>
  <si>
    <t>Ambient - N/A</t>
  </si>
  <si>
    <t>A</t>
  </si>
  <si>
    <t>A1</t>
  </si>
  <si>
    <t>IS #2</t>
  </si>
  <si>
    <t>B1</t>
  </si>
  <si>
    <t>IS #3</t>
  </si>
  <si>
    <t>C1</t>
  </si>
  <si>
    <t>IS #4</t>
  </si>
  <si>
    <t>D1</t>
  </si>
  <si>
    <t>IS #5</t>
  </si>
  <si>
    <t>E1</t>
  </si>
  <si>
    <t>IS #6</t>
  </si>
  <si>
    <t>F1</t>
  </si>
  <si>
    <t>IS #7</t>
  </si>
  <si>
    <t>G1</t>
  </si>
  <si>
    <t>IS #8</t>
  </si>
  <si>
    <t>H1</t>
  </si>
  <si>
    <t>IS #9</t>
  </si>
  <si>
    <t>B</t>
  </si>
  <si>
    <t>A2</t>
  </si>
  <si>
    <t>IS #10</t>
  </si>
  <si>
    <t>B2</t>
  </si>
  <si>
    <t>IS #11</t>
  </si>
  <si>
    <t>C2</t>
  </si>
  <si>
    <t>IS #12</t>
  </si>
  <si>
    <t>D2</t>
  </si>
  <si>
    <t>IS #13</t>
  </si>
  <si>
    <t>pH 7.5 - Long</t>
  </si>
  <si>
    <t>E2</t>
  </si>
  <si>
    <t>IS #14</t>
  </si>
  <si>
    <t>F2</t>
  </si>
  <si>
    <t>IS #15</t>
  </si>
  <si>
    <t>G2</t>
  </si>
  <si>
    <t>IS #16</t>
  </si>
  <si>
    <t>H2</t>
  </si>
  <si>
    <t>IS #17</t>
  </si>
  <si>
    <t>C</t>
  </si>
  <si>
    <t>A3</t>
  </si>
  <si>
    <t>IS #18</t>
  </si>
  <si>
    <t>B3</t>
  </si>
  <si>
    <t>IS #19</t>
  </si>
  <si>
    <t>C3</t>
  </si>
  <si>
    <t>IS #20</t>
  </si>
  <si>
    <t>D3</t>
  </si>
  <si>
    <t>IS #21</t>
  </si>
  <si>
    <t>E3</t>
  </si>
  <si>
    <t>IS #22</t>
  </si>
  <si>
    <t>F3</t>
  </si>
  <si>
    <t>IS #23</t>
  </si>
  <si>
    <t>G3</t>
  </si>
  <si>
    <t>IS #24</t>
  </si>
  <si>
    <t>H3</t>
  </si>
  <si>
    <t>IS #25</t>
  </si>
  <si>
    <t>D</t>
  </si>
  <si>
    <t>A4</t>
  </si>
  <si>
    <t>IS #26</t>
  </si>
  <si>
    <t>B4</t>
  </si>
  <si>
    <t>IS #27</t>
  </si>
  <si>
    <t>pH 7.5 - Short</t>
  </si>
  <si>
    <t>C4</t>
  </si>
  <si>
    <t>IS #28</t>
  </si>
  <si>
    <t>D4</t>
  </si>
  <si>
    <t>IS #29</t>
  </si>
  <si>
    <t>E4</t>
  </si>
  <si>
    <t>IS #30</t>
  </si>
  <si>
    <t>F4</t>
  </si>
  <si>
    <t>IS #31</t>
  </si>
  <si>
    <t>G4</t>
  </si>
  <si>
    <t>IS #32</t>
  </si>
  <si>
    <t>H4</t>
  </si>
  <si>
    <t>IS #33</t>
  </si>
  <si>
    <t>E</t>
  </si>
  <si>
    <t>A5</t>
  </si>
  <si>
    <t>IS #34</t>
  </si>
  <si>
    <t>B5</t>
  </si>
  <si>
    <t>IS #35</t>
  </si>
  <si>
    <t>C5</t>
  </si>
  <si>
    <t>IS #36</t>
  </si>
  <si>
    <t>D5</t>
  </si>
  <si>
    <t>IS #37</t>
  </si>
  <si>
    <t>E5</t>
  </si>
  <si>
    <t>IS #38</t>
  </si>
  <si>
    <t>F5</t>
  </si>
  <si>
    <t>IS #39</t>
  </si>
  <si>
    <t>pH 7.8 - Long</t>
  </si>
  <si>
    <t>G5</t>
  </si>
  <si>
    <t>IS #40</t>
  </si>
  <si>
    <t>H5</t>
  </si>
  <si>
    <t>IS #41</t>
  </si>
  <si>
    <t>F</t>
  </si>
  <si>
    <t>A6</t>
  </si>
  <si>
    <t>IS #42</t>
  </si>
  <si>
    <t>B6</t>
  </si>
  <si>
    <t>IS #43</t>
  </si>
  <si>
    <t>C6</t>
  </si>
  <si>
    <t>IS #44</t>
  </si>
  <si>
    <t>D6</t>
  </si>
  <si>
    <t>IS #45</t>
  </si>
  <si>
    <t>E6</t>
  </si>
  <si>
    <t>IS #46</t>
  </si>
  <si>
    <t>F6</t>
  </si>
  <si>
    <t>IS #47</t>
  </si>
  <si>
    <t>G6</t>
  </si>
  <si>
    <t>IS #48</t>
  </si>
  <si>
    <t>H6</t>
  </si>
  <si>
    <t>IS #49</t>
  </si>
  <si>
    <t>G</t>
  </si>
  <si>
    <t>A7</t>
  </si>
  <si>
    <t>IS #50</t>
  </si>
  <si>
    <t>B7</t>
  </si>
  <si>
    <t>IS #51</t>
  </si>
  <si>
    <t>C7</t>
  </si>
  <si>
    <t>IS #52</t>
  </si>
  <si>
    <t>D7</t>
  </si>
  <si>
    <t>IS #53</t>
  </si>
  <si>
    <t>pH 7.8 - Short</t>
  </si>
  <si>
    <t>E7</t>
  </si>
  <si>
    <t>IS #54</t>
  </si>
  <si>
    <t>F7</t>
  </si>
  <si>
    <t>IS #55</t>
  </si>
  <si>
    <t>G7</t>
  </si>
  <si>
    <t>IS #56</t>
  </si>
  <si>
    <t>H7</t>
  </si>
  <si>
    <t>IS #57</t>
  </si>
  <si>
    <t>H</t>
  </si>
  <si>
    <t>A8</t>
  </si>
  <si>
    <t>IS #58</t>
  </si>
  <si>
    <t>B8</t>
  </si>
  <si>
    <t>IS #59</t>
  </si>
  <si>
    <t>C8</t>
  </si>
  <si>
    <t>IS #60</t>
  </si>
  <si>
    <t>D8</t>
  </si>
  <si>
    <t>IS #61</t>
  </si>
  <si>
    <t>E8</t>
  </si>
  <si>
    <t>IS #62</t>
  </si>
  <si>
    <t>F8</t>
  </si>
  <si>
    <t>IS #63</t>
  </si>
  <si>
    <t>G8</t>
  </si>
  <si>
    <t>IS #64</t>
  </si>
  <si>
    <t>Negative Cotrol</t>
  </si>
  <si>
    <t>H8</t>
  </si>
  <si>
    <t>Ingrid mRNA Library - Universal Plus</t>
  </si>
  <si>
    <t>Sample #</t>
  </si>
  <si>
    <t>Volume used for library prep (uL)</t>
  </si>
  <si>
    <t>Concentration (ng/uL)</t>
  </si>
  <si>
    <t>Water to add to bring to 50uL</t>
  </si>
  <si>
    <t>Diluted concentration (ng/uL)</t>
  </si>
  <si>
    <t>Total RNA (ng)</t>
  </si>
  <si>
    <t>PCR cycles</t>
  </si>
  <si>
    <t>Adapter well</t>
  </si>
  <si>
    <t># of samples</t>
  </si>
  <si>
    <t>Program</t>
  </si>
  <si>
    <t>Temp</t>
  </si>
  <si>
    <t>Time</t>
  </si>
  <si>
    <t>Oligo dT Master Mix</t>
  </si>
  <si>
    <t>60uL per sample</t>
  </si>
  <si>
    <t>65°C</t>
  </si>
  <si>
    <t>Oligo dT Beads (clear)</t>
  </si>
  <si>
    <t>4°C</t>
  </si>
  <si>
    <t>Hold</t>
  </si>
  <si>
    <t>mRNA Binding Buffer (clear)</t>
  </si>
  <si>
    <t xml:space="preserve">mRNA Elution Buffer </t>
  </si>
  <si>
    <t>50uL per sample</t>
  </si>
  <si>
    <t>80°C</t>
  </si>
  <si>
    <t>25°C</t>
  </si>
  <si>
    <t>Fragmentation Buffer</t>
  </si>
  <si>
    <t>20uL per sample</t>
  </si>
  <si>
    <t>86°C</t>
  </si>
  <si>
    <t>2 x Fragmentation Buffer (clear FB1)</t>
  </si>
  <si>
    <t>Nuclease-Free water (Green D1)</t>
  </si>
  <si>
    <t>First Strand Synthesis Mix</t>
  </si>
  <si>
    <t>5uL per sample</t>
  </si>
  <si>
    <t>Actinomycin D (Brown)</t>
  </si>
  <si>
    <t>42°C</t>
  </si>
  <si>
    <t>First Strand Buffer Mix (Blue A2)</t>
  </si>
  <si>
    <t>70°C</t>
  </si>
  <si>
    <t>First Strand Enzyme Mix (Blue A3)</t>
  </si>
  <si>
    <t>Second Strand Synthesis Mix</t>
  </si>
  <si>
    <t>16°C</t>
  </si>
  <si>
    <t>60:00</t>
  </si>
  <si>
    <t>Second Strand Buffer Mix (Yellow B1)</t>
  </si>
  <si>
    <t>Second Strand Enzyme Mix (Yellow B2)</t>
  </si>
  <si>
    <t>Mag Beads</t>
  </si>
  <si>
    <t>135uL per sample</t>
  </si>
  <si>
    <t>80% Ethanol (2x)</t>
  </si>
  <si>
    <t>200uL per sample</t>
  </si>
  <si>
    <t>26000uL Total</t>
  </si>
  <si>
    <t>11uL per sample</t>
  </si>
  <si>
    <t>End Repair Master Mix</t>
  </si>
  <si>
    <t>30:00</t>
  </si>
  <si>
    <t>End Repair Buffer Mix (Blue ER1)</t>
  </si>
  <si>
    <t>10:00</t>
  </si>
  <si>
    <t>End Repair Enzyme mix (Blue ER2)</t>
  </si>
  <si>
    <t>End Repair Enhancer (Blue ER3)</t>
  </si>
  <si>
    <t>Ligation Master Mix</t>
  </si>
  <si>
    <t>12uL per sample</t>
  </si>
  <si>
    <t>Ligation Buffer Mix (Yellow L1)</t>
  </si>
  <si>
    <t>Ligation Enzyme Mix (Yelow L3)</t>
  </si>
  <si>
    <t>Strand Selection</t>
  </si>
  <si>
    <t>70uL per sample</t>
  </si>
  <si>
    <t>72°C</t>
  </si>
  <si>
    <t>Strand Selection Buffer Mix (Purple SS1)</t>
  </si>
  <si>
    <t>Strand Selection Enzyme Mix I (Purple SS2)</t>
  </si>
  <si>
    <t>80uL per sample</t>
  </si>
  <si>
    <t>16uL per sample</t>
  </si>
  <si>
    <t>Library Amplification master mix</t>
  </si>
  <si>
    <t>85uL per sample</t>
  </si>
  <si>
    <t>37°C</t>
  </si>
  <si>
    <t>Amplification Buffer Mix (Red AR1)</t>
  </si>
  <si>
    <t>95°C</t>
  </si>
  <si>
    <t>2:00</t>
  </si>
  <si>
    <t>Amplification Primer mix (Red AR2)</t>
  </si>
  <si>
    <t>2x</t>
  </si>
  <si>
    <t>0:30</t>
  </si>
  <si>
    <t>Amplification Enzyme Mix (Red AR3)</t>
  </si>
  <si>
    <t>60°C</t>
  </si>
  <si>
    <t>1:30</t>
  </si>
  <si>
    <t>Strand Selection Enzyme Mix II (Purple SS4)</t>
  </si>
  <si>
    <t>12x</t>
  </si>
  <si>
    <t>5:00</t>
  </si>
  <si>
    <t>Elution Buffer (EB)</t>
  </si>
  <si>
    <t>29uL per sample</t>
  </si>
  <si>
    <t>A01 CGCTACAT AACCTACG A05 AGGTTCCT TCGAACCT A09 GCCTTAAC CCGTTATG B01 AATCCAGC GCATCCTA B05 GAACCTTC CAAGGTAC B09 ATTCCGCT TGTCGACT C01 CGTCTAAC CAACGAGT C05 AAGTCCTC AGCTACCA C09 ATCGTGGT CTCTATCG D01 AACTCGGA TGCAAGAC D05 CCACAACA CATCCAAG D09 GCTACAAC ACTGCTTG E01 GTCGAGAA CTTACAGC E05 ATAACGCC CTCACCAA E09 TCTACGCA CGCCTTAT F01 ACAACAGC ACCGACAA F05 CCGGAATA TCAGTAGG F09 CTCCAATC ATAGGTCC G01 ATGACAGG ACATGCCA G05 CCAAGTAG GAACGTGA G09 ACTCTCCA TGATCACG H01 GCACACAA GAGCAATC H05 AAGGACCA AGGAACAC H09 GTCTCATC CGGATCAA A02 CTCCTAGT CCTCATCT A06 ACGCTTCT CCTAAGTC A10 GCCAGAAT TACTAGCG B02 TCTTCGAC TACTGCTC B06 CTATCCAC AACGCACA B10 AATGACGC TGGACCAT C02 GACTACGA TTACCGAC C06 TGACAACC GTCAACAG C10 GTACCACA GCGCATAT D02 ACTCCTAC CCGTAACT D06 CAGTGCTT ACACCTCA D10 ACGATCAG ATCGCAAC E02 CTTCCTTC TTCCAGGT E06 TCACTCGA TATGGCAC E10 TAACGTCG TCAGCCTT F02 ACCATCCT CCATGAAC F06 CTGACTAC CGCAATGT F10 CGCAACTA CATTGACG G02 CGTCCATT TTCCTCCT G06 GTGATCCA ACTCAACG G10 AACACTGG ACAGGCAT H02 AACTTGCC CCAACTTC H06 ACAGCAAG GTCTGCAA H10 CCTGTCAA AGGTCTGT A03 GTACACCT GAGACCAA A07 TGCTGTGA CACGATTC A11 TCCTGGTA CAGATCCT B03 ACGAGAAC ACAGTTCG B07 CAACACAG AGAAGCCT B11 CATCAACC CTCCTGAA C03 CGACCTAA CTAACCTG C07 CCACATTG TACTCCAG C11 AGCAGACA AGAGGATG D03 TACATCGG TCCGATCA D07 TAGTGCCA CGTCAAGA D11 GAAGACTG CACCATGA E03 ATCGTCTC AGAAGGAC E07 TCGTGCAT CTGTACCA E11 TCTAGTCC CGGTAATC F03 CCAACACT GACGAACT F07 CTACATCC TCACCTAG F11 CTCGACTT GAGTGTGT G03 TCTAGGAG TTGCAACG G07 CATACGGA AACACCAC G11 CTAGCTCA AACTGAGG H03 CTCGAACA CCAACGAA H07 TGCGTAAC CGTCTTCA H11 TCCAACTG TGTGTCAG A04 ACGGACTT ATCGGAGA A08 CAGGTTCA AACGTAGC A12 GACATCTC TGTCACAC B04 CTAAGACC CCTAACAG B08 AGAACCAG GCAACCAT B12 ACTGCACT AGATCGTC C04 AACCGAAC CATACTCG C08 GAATGGCA GATCCACT C12 GTTCCATG CAATGCGA D04 CCTTAGGT TGCCTCAA D08 AGGCAATG ACCTAGAC D12 ACCAAGCA TGCTTGCT E04 CCTATACC TACAGAGC E08 TAGGAGCT CTAGCAGT E12 CTCTCAGA AATGGTCG F04 AACGCCTT CGAGAGAA F08 CGAACAAC TCGATGAC F12 ACTCTGAG AGTTGTGC G04 TCCATTGC AGGTAGGA G08 CATTCGTC TTGGTGCA G12 GCTCAGTT GTATCGAG H04 CAAGCCAA GAACGAAG H08 AGCCAACT AGTGCATC H12 ATCTGACC GTACGATC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</si>
</sst>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amily val="2"/>
    </font>
    <font>
      <sz val="12"/>
      <color rgb="FF000000"/>
      <name val="Calibri"/>
      <family val="2"/>
    </font>
    <font>
      <sz val="11"/>
      <color rgb="FF000000"/>
      <name val="Helvetica Neue"/>
      <family val="2"/>
    </font>
    <font>
      <sz val="10"/>
      <name val="Arial"/>
      <family val="2"/>
    </font>
    <font>
      <b/>
      <sz val="11"/>
      <color rgb="FF000000"/>
      <name val="Calibri"/>
      <family val="2"/>
    </font>
    <font>
      <sz val="12"/>
      <color rgb="FFFF0000"/>
      <name val="Calibri"/>
      <family val="2"/>
    </font>
    <font>
      <b/>
      <sz val="14"/>
      <color rgb="FFFFFFFF"/>
      <name val="Calibri"/>
      <family val="2"/>
    </font>
    <font>
      <b/>
      <sz val="16"/>
      <color rgb="FFFFFFFF"/>
      <name val="Calibri"/>
      <family val="2"/>
    </font>
    <font>
      <b/>
      <sz val="11"/>
      <color rgb="FFFF0000"/>
      <name val="Calibri"/>
      <family val="2"/>
    </font>
    <font>
      <b/>
      <sz val="11"/>
      <name val="Calibri"/>
      <family val="2"/>
    </font>
    <font>
      <b/>
      <i/>
      <sz val="11"/>
      <color rgb="FF000000"/>
      <name val="Calibri"/>
      <family val="2"/>
    </font>
    <font>
      <i/>
      <sz val="8"/>
      <color rgb="FF000000"/>
      <name val="Calibri"/>
      <family val="2"/>
    </font>
    <font>
      <b/>
      <sz val="12"/>
      <color rgb="FF000000"/>
      <name val="Calibri"/>
      <family val="2"/>
    </font>
    <font>
      <sz val="11"/>
      <color rgb="FF000000"/>
      <name val="Calibri"/>
      <family val="2"/>
    </font>
  </fonts>
  <fills count="12">
    <fill>
      <patternFill patternType="none"/>
    </fill>
    <fill>
      <patternFill patternType="gray125"/>
    </fill>
    <fill>
      <patternFill patternType="solid">
        <fgColor rgb="FF000000"/>
        <bgColor rgb="FF003300"/>
      </patternFill>
    </fill>
    <fill>
      <patternFill patternType="solid">
        <fgColor rgb="FFD9D9D9"/>
        <bgColor rgb="FFBDD7EE"/>
      </patternFill>
    </fill>
    <fill>
      <patternFill patternType="solid">
        <fgColor rgb="FFFFFF00"/>
        <bgColor rgb="FFFFFF00"/>
      </patternFill>
    </fill>
    <fill>
      <patternFill patternType="solid">
        <fgColor rgb="FF9DC3E6"/>
        <bgColor rgb="FFBDD7EE"/>
      </patternFill>
    </fill>
    <fill>
      <patternFill patternType="solid">
        <fgColor rgb="FFE3B4ED"/>
        <bgColor rgb="FFFFC7CE"/>
      </patternFill>
    </fill>
    <fill>
      <patternFill patternType="solid">
        <fgColor rgb="FF00FFCC"/>
        <bgColor rgb="FF00FFFF"/>
      </patternFill>
    </fill>
    <fill>
      <patternFill patternType="solid">
        <fgColor rgb="FFFFF2CC"/>
        <bgColor rgb="FFFBE5D6"/>
      </patternFill>
    </fill>
    <fill>
      <patternFill patternType="solid">
        <fgColor rgb="FFBDD7EE"/>
        <bgColor rgb="FFD9D9D9"/>
      </patternFill>
    </fill>
    <fill>
      <patternFill patternType="solid">
        <fgColor rgb="FFFBE5D6"/>
        <bgColor rgb="FFFFF2CC"/>
      </patternFill>
    </fill>
    <fill>
      <patternFill patternType="solid">
        <fgColor rgb="FFFFD966"/>
        <bgColor rgb="FFFFC7CE"/>
      </patternFill>
    </fill>
  </fills>
  <borders count="64">
    <border>
      <left/>
      <right/>
      <top/>
      <bottom/>
      <diagonal/>
    </border>
    <border>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dotted">
        <color auto="1"/>
      </bottom>
      <diagonal/>
    </border>
    <border>
      <left/>
      <right/>
      <top/>
      <bottom style="dotted">
        <color auto="1"/>
      </bottom>
      <diagonal/>
    </border>
    <border>
      <left/>
      <right style="medium">
        <color auto="1"/>
      </right>
      <top/>
      <bottom style="dotted">
        <color auto="1"/>
      </bottom>
      <diagonal/>
    </border>
    <border>
      <left style="medium">
        <color auto="1"/>
      </left>
      <right/>
      <top style="medium">
        <color auto="1"/>
      </top>
      <bottom style="dotted">
        <color auto="1"/>
      </bottom>
      <diagonal/>
    </border>
    <border>
      <left/>
      <right/>
      <top style="medium">
        <color auto="1"/>
      </top>
      <bottom style="dotted">
        <color auto="1"/>
      </bottom>
      <diagonal/>
    </border>
    <border>
      <left style="medium">
        <color auto="1"/>
      </left>
      <right/>
      <top style="dotted">
        <color auto="1"/>
      </top>
      <bottom style="dotted">
        <color auto="1"/>
      </bottom>
      <diagonal/>
    </border>
    <border>
      <left/>
      <right/>
      <top style="dotted">
        <color auto="1"/>
      </top>
      <bottom style="dotted">
        <color auto="1"/>
      </bottom>
      <diagonal/>
    </border>
    <border>
      <left style="medium">
        <color auto="1"/>
      </left>
      <right/>
      <top style="dotted">
        <color auto="1"/>
      </top>
      <bottom style="medium">
        <color auto="1"/>
      </bottom>
      <diagonal/>
    </border>
    <border>
      <left/>
      <right/>
      <top style="dotted">
        <color auto="1"/>
      </top>
      <bottom style="medium">
        <color auto="1"/>
      </bottom>
      <diagonal/>
    </border>
    <border>
      <left/>
      <right style="thin">
        <color auto="1"/>
      </right>
      <top/>
      <bottom/>
      <diagonal/>
    </border>
    <border>
      <left/>
      <right style="thick">
        <color auto="1"/>
      </right>
      <top/>
      <bottom/>
      <diagonal/>
    </border>
    <border>
      <left style="thick">
        <color auto="1"/>
      </left>
      <right/>
      <top/>
      <bottom/>
      <diagonal/>
    </border>
    <border>
      <left/>
      <right/>
      <top/>
      <bottom style="medium">
        <color rgb="FFFFFFFF"/>
      </bottom>
      <diagonal/>
    </border>
    <border>
      <left style="thick">
        <color auto="1"/>
      </left>
      <right/>
      <top/>
      <bottom style="thin">
        <color auto="1"/>
      </bottom>
      <diagonal/>
    </border>
    <border>
      <left/>
      <right style="thick">
        <color auto="1"/>
      </right>
      <top/>
      <bottom style="thin">
        <color auto="1"/>
      </bottom>
      <diagonal/>
    </border>
    <border>
      <left/>
      <right style="thin">
        <color auto="1"/>
      </right>
      <top style="medium">
        <color rgb="FFFFFFFF"/>
      </top>
      <bottom style="thin">
        <color auto="1"/>
      </bottom>
      <diagonal/>
    </border>
    <border>
      <left/>
      <right style="medium">
        <color rgb="FFFFFFFF"/>
      </right>
      <top style="medium">
        <color rgb="FFFFFFFF"/>
      </top>
      <bottom style="thin">
        <color auto="1"/>
      </bottom>
      <diagonal/>
    </border>
    <border>
      <left style="medium">
        <color rgb="FFFFFFFF"/>
      </left>
      <right style="medium">
        <color rgb="FFFFFFFF"/>
      </right>
      <top style="medium">
        <color rgb="FFFFFFFF"/>
      </top>
      <bottom style="thin">
        <color auto="1"/>
      </bottom>
      <diagonal/>
    </border>
    <border>
      <left/>
      <right/>
      <top style="medium">
        <color rgb="FFFFFFFF"/>
      </top>
      <bottom style="thin">
        <color auto="1"/>
      </bottom>
      <diagonal/>
    </border>
    <border>
      <left style="medium">
        <color rgb="FFFFFFFF"/>
      </left>
      <right/>
      <top style="medium">
        <color rgb="FFFFFFFF"/>
      </top>
      <bottom style="thin">
        <color auto="1"/>
      </bottom>
      <diagonal/>
    </border>
    <border>
      <left style="medium">
        <color rgb="FFFFFFFF"/>
      </left>
      <right/>
      <top/>
      <bottom/>
      <diagonal/>
    </border>
    <border>
      <left style="medium">
        <color rgb="FFFFFFFF"/>
      </left>
      <right/>
      <top style="thin">
        <color auto="1"/>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thick">
        <color auto="1"/>
      </left>
      <right style="thick">
        <color auto="1"/>
      </right>
      <top style="thin">
        <color auto="1"/>
      </top>
      <bottom style="medium">
        <color auto="1"/>
      </bottom>
      <diagonal/>
    </border>
    <border>
      <left/>
      <right style="thin">
        <color auto="1"/>
      </right>
      <top style="thin">
        <color auto="1"/>
      </top>
      <bottom style="medium">
        <color auto="1"/>
      </bottom>
      <diagonal/>
    </border>
    <border>
      <left/>
      <right style="thick">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thin">
        <color auto="1"/>
      </left>
      <right/>
      <top/>
      <bottom style="medium">
        <color auto="1"/>
      </bottom>
      <diagonal/>
    </border>
    <border>
      <left style="thick">
        <color auto="1"/>
      </left>
      <right style="thick">
        <color auto="1"/>
      </right>
      <top style="thick">
        <color auto="1"/>
      </top>
      <bottom style="medium">
        <color auto="1"/>
      </bottom>
      <diagonal/>
    </border>
    <border>
      <left style="thick">
        <color auto="1"/>
      </left>
      <right style="thin">
        <color auto="1"/>
      </right>
      <top style="thin">
        <color auto="1"/>
      </top>
      <bottom style="medium">
        <color auto="1"/>
      </bottom>
      <diagonal/>
    </border>
    <border>
      <left style="thin">
        <color auto="1"/>
      </left>
      <right/>
      <top/>
      <bottom style="thin">
        <color auto="1"/>
      </bottom>
      <diagonal/>
    </border>
    <border>
      <left style="thin">
        <color auto="1"/>
      </left>
      <right style="thick">
        <color auto="1"/>
      </right>
      <top/>
      <bottom style="thin">
        <color auto="1"/>
      </bottom>
      <diagonal/>
    </border>
    <border>
      <left/>
      <right style="medium">
        <color auto="1"/>
      </right>
      <top/>
      <bottom/>
      <diagonal/>
    </border>
    <border>
      <left style="medium">
        <color auto="1"/>
      </left>
      <right/>
      <top/>
      <bottom/>
      <diagonal/>
    </border>
    <border>
      <left/>
      <right/>
      <top/>
      <bottom style="medium">
        <color auto="1"/>
      </bottom>
      <diagonal/>
    </border>
    <border>
      <left style="thin">
        <color auto="1"/>
      </left>
      <right style="thick">
        <color auto="1"/>
      </right>
      <top/>
      <bottom style="medium">
        <color auto="1"/>
      </bottom>
      <diagonal/>
    </border>
    <border>
      <left style="thick">
        <color auto="1"/>
      </left>
      <right style="thin">
        <color auto="1"/>
      </right>
      <top/>
      <bottom style="medium">
        <color auto="1"/>
      </bottom>
      <diagonal/>
    </border>
    <border>
      <left style="thick">
        <color auto="1"/>
      </left>
      <right/>
      <top/>
      <bottom style="medium">
        <color auto="1"/>
      </bottom>
      <diagonal/>
    </border>
    <border>
      <left/>
      <right style="thick">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auto="1"/>
      </left>
      <right style="thin">
        <color auto="1"/>
      </right>
      <top/>
      <bottom/>
      <diagonal/>
    </border>
    <border>
      <left/>
      <right style="thin">
        <color auto="1"/>
      </right>
      <top/>
      <bottom style="medium">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bottom/>
      <diagonal/>
    </border>
  </borders>
  <cellStyleXfs count="6">
    <xf numFmtId="0" fontId="0" fillId="0" borderId="0"/>
    <xf numFmtId="0" fontId="13" fillId="0" borderId="0"/>
    <xf numFmtId="0" fontId="1" fillId="0" borderId="0"/>
    <xf numFmtId="0" fontId="1" fillId="0" borderId="0"/>
    <xf numFmtId="0" fontId="2" fillId="0" borderId="0" applyBorder="0" applyProtection="0">
      <alignment vertical="top"/>
    </xf>
    <xf numFmtId="0" fontId="3" fillId="0" borderId="0"/>
  </cellStyleXfs>
  <cellXfs count="128">
    <xf numFmtId="0" fontId="0" fillId="0" borderId="0" xfId="0"/>
    <xf numFmtId="0" fontId="12" fillId="0" borderId="61" xfId="3" applyFont="1" applyBorder="1" applyAlignment="1">
      <alignment horizontal="left"/>
    </xf>
    <xf numFmtId="0" fontId="1" fillId="0" borderId="60" xfId="3" applyFont="1" applyBorder="1" applyAlignment="1">
      <alignment horizontal="left"/>
    </xf>
    <xf numFmtId="0" fontId="1" fillId="0" borderId="59" xfId="3" applyFont="1" applyBorder="1" applyAlignment="1">
      <alignment horizontal="left"/>
    </xf>
    <xf numFmtId="0" fontId="12" fillId="0" borderId="59" xfId="3" applyFont="1" applyBorder="1" applyAlignment="1">
      <alignment horizontal="left"/>
    </xf>
    <xf numFmtId="0" fontId="0" fillId="9" borderId="56" xfId="3" applyFont="1" applyFill="1" applyBorder="1" applyAlignment="1">
      <alignment horizontal="right"/>
    </xf>
    <xf numFmtId="0" fontId="1" fillId="9" borderId="56" xfId="3" applyFont="1" applyFill="1" applyBorder="1" applyAlignment="1">
      <alignment horizontal="right"/>
    </xf>
    <xf numFmtId="0" fontId="1" fillId="9" borderId="4" xfId="3" applyFont="1" applyFill="1" applyBorder="1" applyAlignment="1">
      <alignment horizontal="right"/>
    </xf>
    <xf numFmtId="14" fontId="12" fillId="0" borderId="48" xfId="3" applyNumberFormat="1" applyFont="1" applyBorder="1" applyAlignment="1">
      <alignment horizontal="center"/>
    </xf>
    <xf numFmtId="0" fontId="12" fillId="0" borderId="48" xfId="3" applyFont="1" applyBorder="1" applyAlignment="1">
      <alignment horizontal="center"/>
    </xf>
    <xf numFmtId="0" fontId="6" fillId="2" borderId="26" xfId="1" applyFont="1" applyFill="1" applyBorder="1" applyAlignment="1">
      <alignment horizontal="center" vertical="center"/>
    </xf>
    <xf numFmtId="0" fontId="7" fillId="2" borderId="25" xfId="1" applyFont="1" applyFill="1" applyBorder="1" applyAlignment="1">
      <alignment horizontal="center" vertical="center"/>
    </xf>
    <xf numFmtId="0" fontId="6" fillId="2" borderId="22" xfId="1" applyFont="1" applyFill="1" applyBorder="1" applyAlignment="1">
      <alignment horizontal="center" vertical="center"/>
    </xf>
    <xf numFmtId="0" fontId="6" fillId="2" borderId="21" xfId="1" applyFont="1" applyFill="1" applyBorder="1" applyAlignment="1">
      <alignment horizontal="center" vertical="center"/>
    </xf>
    <xf numFmtId="0" fontId="6" fillId="2" borderId="17" xfId="2" applyFont="1" applyFill="1" applyBorder="1" applyAlignment="1">
      <alignment horizontal="center" vertical="center"/>
    </xf>
    <xf numFmtId="0" fontId="4" fillId="0" borderId="0" xfId="0" applyFont="1"/>
    <xf numFmtId="0" fontId="4" fillId="0" borderId="1" xfId="0" applyFont="1" applyBorder="1" applyAlignment="1">
      <alignment horizontal="center"/>
    </xf>
    <xf numFmtId="0" fontId="0" fillId="0" borderId="0" xfId="0"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0" fillId="0" borderId="5" xfId="0" applyBorder="1" applyAlignment="1">
      <alignment horizontal="center"/>
    </xf>
    <xf numFmtId="0" fontId="0" fillId="0" borderId="6" xfId="0" applyFont="1" applyBorder="1" applyAlignment="1">
      <alignment horizontal="center"/>
    </xf>
    <xf numFmtId="0" fontId="0" fillId="0" borderId="7" xfId="0" applyBorder="1"/>
    <xf numFmtId="0" fontId="0" fillId="0" borderId="8" xfId="0" applyBorder="1" applyAlignment="1">
      <alignment horizontal="center"/>
    </xf>
    <xf numFmtId="0" fontId="0" fillId="0" borderId="9" xfId="0" applyFont="1" applyBorder="1" applyAlignment="1">
      <alignment horizontal="center"/>
    </xf>
    <xf numFmtId="0" fontId="0" fillId="0" borderId="10" xfId="0" applyBorder="1" applyAlignment="1">
      <alignment horizontal="center"/>
    </xf>
    <xf numFmtId="0" fontId="0" fillId="0" borderId="11" xfId="0" applyFont="1" applyBorder="1" applyAlignment="1">
      <alignment horizontal="center"/>
    </xf>
    <xf numFmtId="0" fontId="0" fillId="0" borderId="12" xfId="0" applyBorder="1" applyAlignment="1">
      <alignment horizontal="center"/>
    </xf>
    <xf numFmtId="0" fontId="0" fillId="0" borderId="13" xfId="0" applyFont="1" applyBorder="1" applyAlignment="1">
      <alignment horizontal="center"/>
    </xf>
    <xf numFmtId="0" fontId="13" fillId="0" borderId="0" xfId="1"/>
    <xf numFmtId="0" fontId="13" fillId="0" borderId="14" xfId="1" applyBorder="1"/>
    <xf numFmtId="0" fontId="13" fillId="0" borderId="15" xfId="1" applyBorder="1"/>
    <xf numFmtId="0" fontId="13" fillId="0" borderId="16" xfId="1" applyBorder="1"/>
    <xf numFmtId="0" fontId="13" fillId="0" borderId="0" xfId="1" applyAlignment="1">
      <alignment horizontal="center" vertical="center"/>
    </xf>
    <xf numFmtId="0" fontId="5" fillId="0" borderId="0" xfId="1" applyFont="1" applyAlignment="1">
      <alignment horizontal="center" vertical="center"/>
    </xf>
    <xf numFmtId="0" fontId="5" fillId="0" borderId="15" xfId="1" applyFont="1" applyBorder="1" applyAlignment="1">
      <alignment horizontal="center" vertical="center"/>
    </xf>
    <xf numFmtId="0" fontId="7" fillId="0" borderId="0" xfId="1" applyFont="1" applyAlignment="1">
      <alignment vertical="center"/>
    </xf>
    <xf numFmtId="0" fontId="6" fillId="0" borderId="18" xfId="1" applyFont="1" applyBorder="1" applyAlignment="1">
      <alignment vertical="center"/>
    </xf>
    <xf numFmtId="0" fontId="6" fillId="0" borderId="1" xfId="1" applyFont="1" applyBorder="1" applyAlignment="1">
      <alignment vertical="center"/>
    </xf>
    <xf numFmtId="0" fontId="6" fillId="0" borderId="19" xfId="1" applyFont="1" applyBorder="1" applyAlignment="1">
      <alignment vertical="center"/>
    </xf>
    <xf numFmtId="0" fontId="6" fillId="0" borderId="20" xfId="1" applyFont="1" applyBorder="1" applyAlignment="1">
      <alignment horizontal="center" vertical="center"/>
    </xf>
    <xf numFmtId="0" fontId="6" fillId="0" borderId="23" xfId="1" applyFont="1" applyBorder="1" applyAlignment="1">
      <alignment horizontal="center" vertical="center"/>
    </xf>
    <xf numFmtId="0" fontId="6" fillId="0" borderId="24" xfId="1" applyFont="1" applyBorder="1" applyAlignment="1">
      <alignment horizontal="center" vertical="center"/>
    </xf>
    <xf numFmtId="0" fontId="4" fillId="3" borderId="27" xfId="1" applyFont="1" applyFill="1" applyBorder="1" applyAlignment="1">
      <alignment wrapText="1"/>
    </xf>
    <xf numFmtId="0" fontId="8" fillId="3" borderId="28" xfId="1" applyFont="1" applyFill="1" applyBorder="1" applyAlignment="1">
      <alignment wrapText="1"/>
    </xf>
    <xf numFmtId="0" fontId="9" fillId="3" borderId="29" xfId="1" applyFont="1" applyFill="1" applyBorder="1" applyAlignment="1">
      <alignment wrapText="1"/>
    </xf>
    <xf numFmtId="0" fontId="4" fillId="3" borderId="30" xfId="1" applyFont="1" applyFill="1" applyBorder="1" applyAlignment="1">
      <alignment wrapText="1"/>
    </xf>
    <xf numFmtId="0" fontId="4" fillId="4" borderId="31" xfId="1" applyFont="1" applyFill="1" applyBorder="1" applyAlignment="1">
      <alignment wrapText="1"/>
    </xf>
    <xf numFmtId="0" fontId="4" fillId="3" borderId="32" xfId="1" applyFont="1" applyFill="1" applyBorder="1" applyAlignment="1">
      <alignment wrapText="1"/>
    </xf>
    <xf numFmtId="0" fontId="4" fillId="3" borderId="33" xfId="1" applyFont="1" applyFill="1" applyBorder="1" applyAlignment="1">
      <alignment wrapText="1"/>
    </xf>
    <xf numFmtId="0" fontId="4" fillId="3" borderId="34" xfId="1" applyFont="1" applyFill="1" applyBorder="1" applyAlignment="1">
      <alignment wrapText="1"/>
    </xf>
    <xf numFmtId="0" fontId="4" fillId="5" borderId="35" xfId="1" applyFont="1" applyFill="1" applyBorder="1" applyAlignment="1">
      <alignment wrapText="1"/>
    </xf>
    <xf numFmtId="0" fontId="4" fillId="6" borderId="35" xfId="1" applyFont="1" applyFill="1" applyBorder="1" applyAlignment="1">
      <alignment wrapText="1"/>
    </xf>
    <xf numFmtId="0" fontId="10" fillId="3" borderId="28" xfId="1" applyFont="1" applyFill="1" applyBorder="1" applyAlignment="1">
      <alignment horizontal="left" wrapText="1"/>
    </xf>
    <xf numFmtId="0" fontId="4" fillId="3" borderId="32" xfId="1" applyFont="1" applyFill="1" applyBorder="1" applyAlignment="1">
      <alignment horizontal="left" wrapText="1"/>
    </xf>
    <xf numFmtId="0" fontId="4" fillId="3" borderId="33" xfId="1" applyFont="1" applyFill="1" applyBorder="1" applyAlignment="1">
      <alignment horizontal="left" wrapText="1"/>
    </xf>
    <xf numFmtId="0" fontId="4" fillId="3" borderId="28" xfId="1" applyFont="1" applyFill="1" applyBorder="1" applyAlignment="1">
      <alignment horizontal="left" wrapText="1"/>
    </xf>
    <xf numFmtId="0" fontId="4" fillId="4" borderId="28" xfId="1" applyFont="1" applyFill="1" applyBorder="1" applyAlignment="1">
      <alignment horizontal="left" wrapText="1"/>
    </xf>
    <xf numFmtId="0" fontId="4" fillId="3" borderId="36" xfId="1" applyFont="1" applyFill="1" applyBorder="1" applyAlignment="1">
      <alignment horizontal="left" wrapText="1"/>
    </xf>
    <xf numFmtId="0" fontId="4" fillId="7" borderId="32" xfId="1" applyFont="1" applyFill="1" applyBorder="1" applyAlignment="1">
      <alignment horizontal="left" wrapText="1"/>
    </xf>
    <xf numFmtId="0" fontId="4" fillId="3" borderId="31" xfId="1" applyFont="1" applyFill="1" applyBorder="1" applyAlignment="1">
      <alignment horizontal="left" wrapText="1"/>
    </xf>
    <xf numFmtId="0" fontId="0" fillId="4" borderId="0" xfId="1" applyFont="1" applyFill="1"/>
    <xf numFmtId="0" fontId="0" fillId="8" borderId="37" xfId="1" applyFont="1" applyFill="1" applyBorder="1"/>
    <xf numFmtId="0" fontId="13" fillId="9" borderId="38" xfId="1" applyFill="1" applyBorder="1"/>
    <xf numFmtId="0" fontId="13" fillId="10" borderId="0" xfId="1" applyFill="1" applyBorder="1"/>
    <xf numFmtId="164" fontId="13" fillId="4" borderId="15" xfId="1" applyNumberFormat="1" applyFill="1" applyBorder="1"/>
    <xf numFmtId="1" fontId="13" fillId="10" borderId="0" xfId="1" applyNumberFormat="1" applyFill="1" applyBorder="1"/>
    <xf numFmtId="0" fontId="13" fillId="0" borderId="0" xfId="1" applyBorder="1"/>
    <xf numFmtId="1" fontId="13" fillId="0" borderId="0" xfId="1" applyNumberFormat="1"/>
    <xf numFmtId="0" fontId="13" fillId="0" borderId="39" xfId="1" applyBorder="1"/>
    <xf numFmtId="0" fontId="13" fillId="0" borderId="40" xfId="1" applyBorder="1"/>
    <xf numFmtId="2" fontId="13" fillId="0" borderId="0" xfId="1" applyNumberFormat="1"/>
    <xf numFmtId="0" fontId="0" fillId="4" borderId="41" xfId="1" applyFont="1" applyFill="1" applyBorder="1"/>
    <xf numFmtId="0" fontId="0" fillId="8" borderId="34" xfId="1" applyFont="1" applyFill="1" applyBorder="1"/>
    <xf numFmtId="0" fontId="13" fillId="9" borderId="42" xfId="1" applyFill="1" applyBorder="1"/>
    <xf numFmtId="0" fontId="13" fillId="0" borderId="43" xfId="1" applyBorder="1"/>
    <xf numFmtId="0" fontId="13" fillId="10" borderId="44" xfId="1" applyFill="1" applyBorder="1"/>
    <xf numFmtId="164" fontId="13" fillId="4" borderId="45" xfId="1" applyNumberFormat="1" applyFill="1" applyBorder="1"/>
    <xf numFmtId="1" fontId="13" fillId="10" borderId="41" xfId="1" applyNumberFormat="1" applyFill="1" applyBorder="1"/>
    <xf numFmtId="0" fontId="13" fillId="0" borderId="41" xfId="1" applyBorder="1"/>
    <xf numFmtId="0" fontId="13" fillId="0" borderId="45" xfId="1" applyBorder="1"/>
    <xf numFmtId="1" fontId="13" fillId="0" borderId="41" xfId="1" applyNumberFormat="1" applyBorder="1"/>
    <xf numFmtId="0" fontId="13" fillId="0" borderId="46" xfId="1" applyBorder="1"/>
    <xf numFmtId="0" fontId="13" fillId="0" borderId="47" xfId="1" applyBorder="1"/>
    <xf numFmtId="2" fontId="13" fillId="0" borderId="41" xfId="1" applyNumberFormat="1" applyBorder="1"/>
    <xf numFmtId="0" fontId="13" fillId="0" borderId="44" xfId="1" applyBorder="1"/>
    <xf numFmtId="0" fontId="1" fillId="0" borderId="0" xfId="3"/>
    <xf numFmtId="0" fontId="1" fillId="0" borderId="14" xfId="3" applyBorder="1"/>
    <xf numFmtId="0" fontId="12" fillId="0" borderId="0" xfId="3" applyFont="1"/>
    <xf numFmtId="0" fontId="12" fillId="3" borderId="41" xfId="3" applyFont="1" applyFill="1" applyBorder="1" applyAlignment="1">
      <alignment horizontal="center" wrapText="1"/>
    </xf>
    <xf numFmtId="0" fontId="12" fillId="3" borderId="34" xfId="3" applyFont="1" applyFill="1" applyBorder="1" applyAlignment="1">
      <alignment wrapText="1"/>
    </xf>
    <xf numFmtId="0" fontId="12" fillId="3" borderId="41" xfId="3" applyFont="1" applyFill="1" applyBorder="1" applyAlignment="1">
      <alignment wrapText="1"/>
    </xf>
    <xf numFmtId="0" fontId="12" fillId="3" borderId="49" xfId="3" applyFont="1" applyFill="1" applyBorder="1" applyAlignment="1">
      <alignment wrapText="1"/>
    </xf>
    <xf numFmtId="0" fontId="1" fillId="11" borderId="0" xfId="3" applyFont="1" applyFill="1" applyAlignment="1">
      <alignment horizontal="center"/>
    </xf>
    <xf numFmtId="1" fontId="1" fillId="0" borderId="50" xfId="3" applyNumberFormat="1" applyBorder="1"/>
    <xf numFmtId="1" fontId="1" fillId="0" borderId="0" xfId="3" applyNumberFormat="1"/>
    <xf numFmtId="1" fontId="1" fillId="0" borderId="14" xfId="3" applyNumberFormat="1" applyBorder="1"/>
    <xf numFmtId="0" fontId="0" fillId="0" borderId="14" xfId="3" applyFont="1" applyBorder="1"/>
    <xf numFmtId="0" fontId="12" fillId="0" borderId="51" xfId="3" applyFont="1" applyBorder="1" applyAlignment="1">
      <alignment horizontal="left"/>
    </xf>
    <xf numFmtId="0" fontId="1" fillId="0" borderId="52" xfId="3" applyBorder="1"/>
    <xf numFmtId="0" fontId="12" fillId="0" borderId="14" xfId="3" applyFont="1" applyBorder="1"/>
    <xf numFmtId="0" fontId="12" fillId="0" borderId="51" xfId="3" applyFont="1" applyBorder="1"/>
    <xf numFmtId="0" fontId="12" fillId="0" borderId="53" xfId="3" applyFont="1" applyBorder="1"/>
    <xf numFmtId="0" fontId="12" fillId="0" borderId="54" xfId="3" applyFont="1" applyBorder="1"/>
    <xf numFmtId="20" fontId="1" fillId="0" borderId="14" xfId="3" applyNumberFormat="1" applyBorder="1" applyAlignment="1">
      <alignment horizontal="right"/>
    </xf>
    <xf numFmtId="0" fontId="1" fillId="0" borderId="50" xfId="3" applyFont="1" applyBorder="1"/>
    <xf numFmtId="0" fontId="1" fillId="0" borderId="55" xfId="3" applyBorder="1"/>
    <xf numFmtId="0" fontId="1" fillId="0" borderId="56" xfId="3" applyBorder="1"/>
    <xf numFmtId="0" fontId="1" fillId="0" borderId="0" xfId="3" applyAlignment="1">
      <alignment horizontal="right"/>
    </xf>
    <xf numFmtId="0" fontId="1" fillId="0" borderId="14" xfId="3" applyFont="1" applyBorder="1" applyAlignment="1">
      <alignment horizontal="right"/>
    </xf>
    <xf numFmtId="0" fontId="12" fillId="0" borderId="0" xfId="3" applyFont="1" applyBorder="1"/>
    <xf numFmtId="0" fontId="1" fillId="9" borderId="0" xfId="3" applyFill="1" applyBorder="1" applyAlignment="1">
      <alignment horizontal="right"/>
    </xf>
    <xf numFmtId="0" fontId="1" fillId="0" borderId="57" xfId="3" applyFont="1" applyBorder="1"/>
    <xf numFmtId="0" fontId="1" fillId="0" borderId="58" xfId="3" applyBorder="1"/>
    <xf numFmtId="0" fontId="1" fillId="0" borderId="37" xfId="3" applyFont="1" applyBorder="1"/>
    <xf numFmtId="0" fontId="1" fillId="0" borderId="1" xfId="3" applyBorder="1"/>
    <xf numFmtId="0" fontId="1" fillId="0" borderId="0" xfId="3" applyAlignment="1">
      <alignment horizontal="center"/>
    </xf>
    <xf numFmtId="0" fontId="1" fillId="0" borderId="50" xfId="3" applyFont="1" applyBorder="1" applyAlignment="1">
      <alignment horizontal="left"/>
    </xf>
    <xf numFmtId="0" fontId="1" fillId="0" borderId="0" xfId="3" applyAlignment="1">
      <alignment horizontal="left"/>
    </xf>
    <xf numFmtId="49" fontId="1" fillId="0" borderId="14" xfId="3" applyNumberFormat="1" applyFont="1" applyBorder="1" applyAlignment="1">
      <alignment horizontal="right"/>
    </xf>
    <xf numFmtId="0" fontId="12" fillId="0" borderId="0" xfId="3" applyFont="1" applyAlignment="1">
      <alignment horizontal="left"/>
    </xf>
    <xf numFmtId="0" fontId="1" fillId="0" borderId="37" xfId="3" applyFont="1" applyBorder="1" applyAlignment="1">
      <alignment horizontal="left"/>
    </xf>
    <xf numFmtId="0" fontId="12" fillId="0" borderId="62" xfId="3" applyFont="1" applyBorder="1" applyAlignment="1">
      <alignment horizontal="left"/>
    </xf>
    <xf numFmtId="0" fontId="1" fillId="0" borderId="57" xfId="3" applyFont="1" applyBorder="1" applyAlignment="1">
      <alignment horizontal="left"/>
    </xf>
    <xf numFmtId="0" fontId="1" fillId="0" borderId="63" xfId="3" applyFont="1" applyBorder="1" applyAlignment="1">
      <alignment horizontal="left"/>
    </xf>
    <xf numFmtId="0" fontId="1" fillId="0" borderId="0" xfId="3" applyFont="1" applyBorder="1" applyAlignment="1">
      <alignment horizontal="center"/>
    </xf>
    <xf numFmtId="0" fontId="3" fillId="0" borderId="0" xfId="3" applyFont="1" applyBorder="1" applyAlignment="1">
      <alignment horizontal="center"/>
    </xf>
  </cellXfs>
  <cellStyles count="6">
    <cellStyle name="Normal" xfId="0" builtinId="0"/>
    <cellStyle name="Normal 2" xfId="1" xr:uid="{00000000-0005-0000-0000-000006000000}"/>
    <cellStyle name="Normal 2 2" xfId="2" xr:uid="{00000000-0005-0000-0000-000007000000}"/>
    <cellStyle name="Normal 2 2 2" xfId="3" xr:uid="{00000000-0005-0000-0000-000008000000}"/>
    <cellStyle name="Normal 2 3" xfId="4" xr:uid="{00000000-0005-0000-0000-000009000000}"/>
    <cellStyle name="Normal 4" xfId="5" xr:uid="{00000000-0005-0000-0000-00000A000000}"/>
  </cellStyles>
  <dxfs count="1">
    <dxf>
      <font>
        <sz val="11"/>
        <color rgb="FF9C0006"/>
        <name val="Calibri"/>
        <family val="2"/>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CC"/>
      <rgbColor rgb="FF9C0006"/>
      <rgbColor rgb="FF008000"/>
      <rgbColor rgb="FF000080"/>
      <rgbColor rgb="FF808000"/>
      <rgbColor rgb="FF800080"/>
      <rgbColor rgb="FF008080"/>
      <rgbColor rgb="FFD9D9D9"/>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BE5D6"/>
      <rgbColor rgb="FF9DC3E6"/>
      <rgbColor rgb="FFFF99CC"/>
      <rgbColor rgb="FFE3B4ED"/>
      <rgbColor rgb="FFFFC7CE"/>
      <rgbColor rgb="FF3366FF"/>
      <rgbColor rgb="FF33CCCC"/>
      <rgbColor rgb="FF99CC00"/>
      <rgbColor rgb="FFFFD966"/>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zoomScaleNormal="100" workbookViewId="0">
      <selection activeCell="A8" sqref="A8"/>
    </sheetView>
  </sheetViews>
  <sheetFormatPr defaultColWidth="8.85546875" defaultRowHeight="15"/>
  <cols>
    <col min="1" max="1" width="9" customWidth="1"/>
    <col min="2" max="2" width="12.85546875" customWidth="1"/>
    <col min="3" max="3" width="17.5703125" customWidth="1"/>
  </cols>
  <sheetData>
    <row r="1" spans="1:3">
      <c r="A1" s="15" t="s">
        <v>0</v>
      </c>
    </row>
    <row r="2" spans="1:3">
      <c r="A2" t="s">
        <v>1</v>
      </c>
    </row>
    <row r="3" spans="1:3">
      <c r="A3" t="s">
        <v>2</v>
      </c>
    </row>
    <row r="4" spans="1:3">
      <c r="A4" t="s">
        <v>3</v>
      </c>
    </row>
    <row r="5" spans="1:3">
      <c r="A5" t="s">
        <v>4</v>
      </c>
    </row>
    <row r="6" spans="1:3">
      <c r="A6" t="s">
        <v>5</v>
      </c>
    </row>
    <row r="8" spans="1:3">
      <c r="A8" s="16" t="s">
        <v>6</v>
      </c>
      <c r="B8" s="16" t="s">
        <v>7</v>
      </c>
      <c r="C8" s="16" t="s">
        <v>8</v>
      </c>
    </row>
    <row r="9" spans="1:3">
      <c r="A9" s="17">
        <v>1</v>
      </c>
      <c r="B9" s="17" t="s">
        <v>9</v>
      </c>
      <c r="C9" s="17" t="s">
        <v>10</v>
      </c>
    </row>
    <row r="10" spans="1:3">
      <c r="A10" s="17">
        <v>2</v>
      </c>
      <c r="B10" s="17" t="s">
        <v>9</v>
      </c>
      <c r="C10" s="17" t="s">
        <v>10</v>
      </c>
    </row>
    <row r="11" spans="1:3">
      <c r="A11" s="17">
        <v>3</v>
      </c>
      <c r="B11" s="17" t="s">
        <v>9</v>
      </c>
      <c r="C11" s="17" t="s">
        <v>10</v>
      </c>
    </row>
    <row r="12" spans="1:3">
      <c r="A12" s="17">
        <v>4</v>
      </c>
      <c r="B12" s="17" t="s">
        <v>9</v>
      </c>
      <c r="C12" s="17" t="s">
        <v>10</v>
      </c>
    </row>
    <row r="13" spans="1:3">
      <c r="A13" s="17">
        <v>5</v>
      </c>
      <c r="B13" s="17" t="s">
        <v>9</v>
      </c>
      <c r="C13" s="17" t="s">
        <v>10</v>
      </c>
    </row>
    <row r="14" spans="1:3">
      <c r="A14" s="17">
        <v>6</v>
      </c>
      <c r="B14" s="17" t="s">
        <v>9</v>
      </c>
      <c r="C14" s="17" t="s">
        <v>10</v>
      </c>
    </row>
    <row r="15" spans="1:3">
      <c r="A15" s="17">
        <v>7</v>
      </c>
      <c r="B15" s="17" t="s">
        <v>9</v>
      </c>
      <c r="C15" s="17" t="s">
        <v>10</v>
      </c>
    </row>
    <row r="16" spans="1:3">
      <c r="A16" s="17">
        <v>8</v>
      </c>
      <c r="B16" s="17" t="s">
        <v>9</v>
      </c>
      <c r="C16" s="17" t="s">
        <v>10</v>
      </c>
    </row>
    <row r="17" spans="1:3">
      <c r="A17" s="17">
        <v>9</v>
      </c>
      <c r="B17" s="17" t="s">
        <v>9</v>
      </c>
      <c r="C17" s="17" t="s">
        <v>10</v>
      </c>
    </row>
    <row r="18" spans="1:3">
      <c r="A18" s="17">
        <v>10</v>
      </c>
      <c r="B18" s="17" t="s">
        <v>9</v>
      </c>
      <c r="C18" s="17" t="s">
        <v>10</v>
      </c>
    </row>
    <row r="19" spans="1:3">
      <c r="A19" s="17">
        <v>11</v>
      </c>
      <c r="B19" s="17" t="s">
        <v>9</v>
      </c>
      <c r="C19" s="17" t="s">
        <v>10</v>
      </c>
    </row>
    <row r="20" spans="1:3">
      <c r="A20" s="17">
        <v>12</v>
      </c>
      <c r="B20" s="17" t="s">
        <v>9</v>
      </c>
      <c r="C20" s="17" t="s">
        <v>10</v>
      </c>
    </row>
    <row r="21" spans="1:3">
      <c r="A21" s="17">
        <v>13</v>
      </c>
      <c r="B21" s="17" t="s">
        <v>11</v>
      </c>
      <c r="C21" s="17" t="s">
        <v>12</v>
      </c>
    </row>
    <row r="22" spans="1:3">
      <c r="A22" s="17">
        <v>14</v>
      </c>
      <c r="B22" s="17" t="s">
        <v>11</v>
      </c>
      <c r="C22" s="17" t="s">
        <v>12</v>
      </c>
    </row>
    <row r="23" spans="1:3">
      <c r="A23" s="17">
        <v>15</v>
      </c>
      <c r="B23" s="17" t="s">
        <v>11</v>
      </c>
      <c r="C23" s="17" t="s">
        <v>12</v>
      </c>
    </row>
    <row r="24" spans="1:3">
      <c r="A24" s="17">
        <v>16</v>
      </c>
      <c r="B24" s="17" t="s">
        <v>11</v>
      </c>
      <c r="C24" s="17" t="s">
        <v>12</v>
      </c>
    </row>
    <row r="25" spans="1:3">
      <c r="A25" s="17">
        <v>17</v>
      </c>
      <c r="B25" s="17" t="s">
        <v>11</v>
      </c>
      <c r="C25" s="17" t="s">
        <v>12</v>
      </c>
    </row>
    <row r="26" spans="1:3">
      <c r="A26" s="17">
        <v>18</v>
      </c>
      <c r="B26" s="17" t="s">
        <v>11</v>
      </c>
      <c r="C26" s="17" t="s">
        <v>12</v>
      </c>
    </row>
    <row r="27" spans="1:3">
      <c r="A27" s="17">
        <v>19</v>
      </c>
      <c r="B27" s="17" t="s">
        <v>11</v>
      </c>
      <c r="C27" s="17" t="s">
        <v>12</v>
      </c>
    </row>
    <row r="28" spans="1:3">
      <c r="A28" s="17">
        <v>20</v>
      </c>
      <c r="B28" s="17" t="s">
        <v>11</v>
      </c>
      <c r="C28" s="17" t="s">
        <v>12</v>
      </c>
    </row>
    <row r="29" spans="1:3">
      <c r="A29" s="17">
        <v>21</v>
      </c>
      <c r="B29" s="17" t="s">
        <v>11</v>
      </c>
      <c r="C29" s="17" t="s">
        <v>12</v>
      </c>
    </row>
    <row r="30" spans="1:3">
      <c r="A30" s="17">
        <v>22</v>
      </c>
      <c r="B30" s="17" t="s">
        <v>11</v>
      </c>
      <c r="C30" s="17" t="s">
        <v>12</v>
      </c>
    </row>
    <row r="31" spans="1:3">
      <c r="A31" s="17">
        <v>23</v>
      </c>
      <c r="B31" s="17" t="s">
        <v>11</v>
      </c>
      <c r="C31" s="17" t="s">
        <v>12</v>
      </c>
    </row>
    <row r="32" spans="1:3">
      <c r="A32" s="17">
        <v>24</v>
      </c>
      <c r="B32" s="17" t="s">
        <v>11</v>
      </c>
      <c r="C32" s="17" t="s">
        <v>12</v>
      </c>
    </row>
    <row r="33" spans="1:3">
      <c r="A33" s="17">
        <v>25</v>
      </c>
      <c r="B33" s="17" t="s">
        <v>11</v>
      </c>
      <c r="C33" s="17" t="s">
        <v>12</v>
      </c>
    </row>
    <row r="34" spans="1:3">
      <c r="A34" s="17">
        <v>26</v>
      </c>
      <c r="B34" s="17" t="s">
        <v>11</v>
      </c>
      <c r="C34" s="17" t="s">
        <v>12</v>
      </c>
    </row>
    <row r="35" spans="1:3">
      <c r="A35" s="17">
        <v>27</v>
      </c>
      <c r="B35" s="17" t="s">
        <v>11</v>
      </c>
      <c r="C35" s="17" t="s">
        <v>13</v>
      </c>
    </row>
    <row r="36" spans="1:3">
      <c r="A36" s="17">
        <v>28</v>
      </c>
      <c r="B36" s="17" t="s">
        <v>11</v>
      </c>
      <c r="C36" s="17" t="s">
        <v>13</v>
      </c>
    </row>
    <row r="37" spans="1:3">
      <c r="A37" s="17">
        <v>29</v>
      </c>
      <c r="B37" s="17" t="s">
        <v>11</v>
      </c>
      <c r="C37" s="17" t="s">
        <v>13</v>
      </c>
    </row>
    <row r="38" spans="1:3">
      <c r="A38" s="17">
        <v>30</v>
      </c>
      <c r="B38" s="17" t="s">
        <v>11</v>
      </c>
      <c r="C38" s="17" t="s">
        <v>13</v>
      </c>
    </row>
    <row r="39" spans="1:3">
      <c r="A39" s="17">
        <v>31</v>
      </c>
      <c r="B39" s="17" t="s">
        <v>11</v>
      </c>
      <c r="C39" s="17" t="s">
        <v>13</v>
      </c>
    </row>
    <row r="40" spans="1:3">
      <c r="A40" s="17">
        <v>32</v>
      </c>
      <c r="B40" s="17" t="s">
        <v>11</v>
      </c>
      <c r="C40" s="17" t="s">
        <v>13</v>
      </c>
    </row>
    <row r="41" spans="1:3">
      <c r="A41" s="17">
        <v>33</v>
      </c>
      <c r="B41" s="17" t="s">
        <v>11</v>
      </c>
      <c r="C41" s="17" t="s">
        <v>13</v>
      </c>
    </row>
    <row r="42" spans="1:3">
      <c r="A42" s="17">
        <v>34</v>
      </c>
      <c r="B42" s="17" t="s">
        <v>11</v>
      </c>
      <c r="C42" s="17" t="s">
        <v>13</v>
      </c>
    </row>
    <row r="43" spans="1:3">
      <c r="A43" s="17">
        <v>35</v>
      </c>
      <c r="B43" s="17" t="s">
        <v>11</v>
      </c>
      <c r="C43" s="17" t="s">
        <v>13</v>
      </c>
    </row>
    <row r="44" spans="1:3">
      <c r="A44" s="17">
        <v>36</v>
      </c>
      <c r="B44" s="17" t="s">
        <v>11</v>
      </c>
      <c r="C44" s="17" t="s">
        <v>13</v>
      </c>
    </row>
    <row r="45" spans="1:3">
      <c r="A45" s="17">
        <v>37</v>
      </c>
      <c r="B45" s="17" t="s">
        <v>11</v>
      </c>
      <c r="C45" s="17" t="s">
        <v>13</v>
      </c>
    </row>
    <row r="46" spans="1:3">
      <c r="A46" s="17">
        <v>38</v>
      </c>
      <c r="B46" s="17" t="s">
        <v>11</v>
      </c>
      <c r="C46" s="17" t="s">
        <v>13</v>
      </c>
    </row>
    <row r="47" spans="1:3">
      <c r="A47" s="17">
        <v>39</v>
      </c>
      <c r="B47" s="17" t="s">
        <v>14</v>
      </c>
      <c r="C47" s="17" t="s">
        <v>12</v>
      </c>
    </row>
    <row r="48" spans="1:3">
      <c r="A48" s="17">
        <v>40</v>
      </c>
      <c r="B48" s="17" t="s">
        <v>14</v>
      </c>
      <c r="C48" s="17" t="s">
        <v>12</v>
      </c>
    </row>
    <row r="49" spans="1:3">
      <c r="A49" s="17">
        <v>41</v>
      </c>
      <c r="B49" s="17" t="s">
        <v>14</v>
      </c>
      <c r="C49" s="17" t="s">
        <v>12</v>
      </c>
    </row>
    <row r="50" spans="1:3">
      <c r="A50" s="17">
        <v>42</v>
      </c>
      <c r="B50" s="17" t="s">
        <v>14</v>
      </c>
      <c r="C50" s="17" t="s">
        <v>12</v>
      </c>
    </row>
    <row r="51" spans="1:3">
      <c r="A51" s="17">
        <v>43</v>
      </c>
      <c r="B51" s="17" t="s">
        <v>14</v>
      </c>
      <c r="C51" s="17" t="s">
        <v>12</v>
      </c>
    </row>
    <row r="52" spans="1:3">
      <c r="A52" s="17">
        <v>44</v>
      </c>
      <c r="B52" s="17" t="s">
        <v>14</v>
      </c>
      <c r="C52" s="17" t="s">
        <v>12</v>
      </c>
    </row>
    <row r="53" spans="1:3">
      <c r="A53" s="17">
        <v>45</v>
      </c>
      <c r="B53" s="17" t="s">
        <v>14</v>
      </c>
      <c r="C53" s="17" t="s">
        <v>12</v>
      </c>
    </row>
    <row r="54" spans="1:3">
      <c r="A54" s="17">
        <v>46</v>
      </c>
      <c r="B54" s="17" t="s">
        <v>14</v>
      </c>
      <c r="C54" s="17" t="s">
        <v>12</v>
      </c>
    </row>
    <row r="55" spans="1:3">
      <c r="A55" s="17">
        <v>47</v>
      </c>
      <c r="B55" s="17" t="s">
        <v>14</v>
      </c>
      <c r="C55" s="17" t="s">
        <v>12</v>
      </c>
    </row>
    <row r="56" spans="1:3">
      <c r="A56" s="17">
        <v>48</v>
      </c>
      <c r="B56" s="17" t="s">
        <v>14</v>
      </c>
      <c r="C56" s="17" t="s">
        <v>12</v>
      </c>
    </row>
    <row r="57" spans="1:3">
      <c r="A57" s="17">
        <v>49</v>
      </c>
      <c r="B57" s="17" t="s">
        <v>14</v>
      </c>
      <c r="C57" s="17" t="s">
        <v>12</v>
      </c>
    </row>
    <row r="58" spans="1:3">
      <c r="A58" s="17">
        <v>50</v>
      </c>
      <c r="B58" s="17" t="s">
        <v>14</v>
      </c>
      <c r="C58" s="17" t="s">
        <v>12</v>
      </c>
    </row>
    <row r="59" spans="1:3">
      <c r="A59" s="17">
        <v>51</v>
      </c>
      <c r="B59" s="17" t="s">
        <v>14</v>
      </c>
      <c r="C59" s="17" t="s">
        <v>12</v>
      </c>
    </row>
    <row r="60" spans="1:3">
      <c r="A60" s="17">
        <v>52</v>
      </c>
      <c r="B60" s="17" t="s">
        <v>14</v>
      </c>
      <c r="C60" s="17" t="s">
        <v>12</v>
      </c>
    </row>
    <row r="61" spans="1:3">
      <c r="A61" s="17">
        <v>53</v>
      </c>
      <c r="B61" s="17" t="s">
        <v>14</v>
      </c>
      <c r="C61" s="17" t="s">
        <v>13</v>
      </c>
    </row>
    <row r="62" spans="1:3">
      <c r="A62" s="17">
        <v>54</v>
      </c>
      <c r="B62" s="17" t="s">
        <v>14</v>
      </c>
      <c r="C62" s="17" t="s">
        <v>13</v>
      </c>
    </row>
    <row r="63" spans="1:3">
      <c r="A63" s="17">
        <v>55</v>
      </c>
      <c r="B63" s="17" t="s">
        <v>14</v>
      </c>
      <c r="C63" s="17" t="s">
        <v>13</v>
      </c>
    </row>
    <row r="64" spans="1:3">
      <c r="A64" s="17">
        <v>56</v>
      </c>
      <c r="B64" s="17" t="s">
        <v>14</v>
      </c>
      <c r="C64" s="17" t="s">
        <v>13</v>
      </c>
    </row>
    <row r="65" spans="1:3">
      <c r="A65" s="17">
        <v>57</v>
      </c>
      <c r="B65" s="17" t="s">
        <v>14</v>
      </c>
      <c r="C65" s="17" t="s">
        <v>13</v>
      </c>
    </row>
    <row r="66" spans="1:3">
      <c r="A66" s="17">
        <v>58</v>
      </c>
      <c r="B66" s="17" t="s">
        <v>14</v>
      </c>
      <c r="C66" s="17" t="s">
        <v>13</v>
      </c>
    </row>
    <row r="67" spans="1:3">
      <c r="A67" s="17">
        <v>59</v>
      </c>
      <c r="B67" s="17" t="s">
        <v>14</v>
      </c>
      <c r="C67" s="17" t="s">
        <v>13</v>
      </c>
    </row>
    <row r="68" spans="1:3">
      <c r="A68" s="17">
        <v>60</v>
      </c>
      <c r="B68" s="17" t="s">
        <v>14</v>
      </c>
      <c r="C68" s="17" t="s">
        <v>13</v>
      </c>
    </row>
    <row r="69" spans="1:3">
      <c r="A69" s="17">
        <v>61</v>
      </c>
      <c r="B69" s="17" t="s">
        <v>14</v>
      </c>
      <c r="C69" s="17" t="s">
        <v>13</v>
      </c>
    </row>
    <row r="70" spans="1:3">
      <c r="A70" s="17">
        <v>62</v>
      </c>
      <c r="B70" s="17" t="s">
        <v>14</v>
      </c>
      <c r="C70" s="17" t="s">
        <v>13</v>
      </c>
    </row>
    <row r="71" spans="1:3">
      <c r="A71" s="17">
        <v>63</v>
      </c>
      <c r="B71" s="17" t="s">
        <v>14</v>
      </c>
      <c r="C71" s="17" t="s">
        <v>13</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3"/>
  <sheetViews>
    <sheetView zoomScaleNormal="100" workbookViewId="0">
      <selection activeCell="D15" sqref="D15"/>
    </sheetView>
  </sheetViews>
  <sheetFormatPr defaultColWidth="11.5703125" defaultRowHeight="15"/>
  <cols>
    <col min="1" max="1" width="5.85546875" customWidth="1"/>
    <col min="2" max="2" width="11.7109375" customWidth="1"/>
    <col min="3" max="3" width="15.140625" customWidth="1"/>
    <col min="4" max="4" width="12" customWidth="1"/>
    <col min="5" max="5" width="4.85546875" customWidth="1"/>
  </cols>
  <sheetData>
    <row r="1" spans="1:9">
      <c r="A1" s="18" t="s">
        <v>6</v>
      </c>
      <c r="B1" s="19" t="s">
        <v>7</v>
      </c>
      <c r="C1" s="19" t="s">
        <v>8</v>
      </c>
      <c r="D1" s="20" t="s">
        <v>15</v>
      </c>
      <c r="F1" s="18" t="s">
        <v>6</v>
      </c>
      <c r="G1" s="19" t="s">
        <v>7</v>
      </c>
      <c r="H1" s="19" t="s">
        <v>8</v>
      </c>
      <c r="I1" s="20" t="s">
        <v>15</v>
      </c>
    </row>
    <row r="2" spans="1:9">
      <c r="A2" s="21">
        <v>1</v>
      </c>
      <c r="B2" s="22" t="s">
        <v>9</v>
      </c>
      <c r="C2" s="22" t="s">
        <v>10</v>
      </c>
      <c r="D2" s="23" t="str">
        <f t="shared" ref="D2:D33" si="0">B2&amp;" - "&amp;C2</f>
        <v>Ambient - N/A</v>
      </c>
      <c r="F2" s="24">
        <v>33</v>
      </c>
      <c r="G2" s="25" t="s">
        <v>11</v>
      </c>
      <c r="H2" s="25" t="s">
        <v>13</v>
      </c>
      <c r="I2" s="23" t="str">
        <f t="shared" ref="I2:I32" si="1">G2&amp;" - "&amp;H2</f>
        <v>pH 7.5 - Short</v>
      </c>
    </row>
    <row r="3" spans="1:9">
      <c r="A3" s="26">
        <v>2</v>
      </c>
      <c r="B3" s="27" t="s">
        <v>9</v>
      </c>
      <c r="C3" s="27" t="s">
        <v>10</v>
      </c>
      <c r="D3" s="23" t="str">
        <f t="shared" si="0"/>
        <v>Ambient - N/A</v>
      </c>
      <c r="F3" s="26">
        <v>34</v>
      </c>
      <c r="G3" s="27" t="s">
        <v>11</v>
      </c>
      <c r="H3" s="27" t="s">
        <v>13</v>
      </c>
      <c r="I3" s="23" t="str">
        <f t="shared" si="1"/>
        <v>pH 7.5 - Short</v>
      </c>
    </row>
    <row r="4" spans="1:9">
      <c r="A4" s="26">
        <v>3</v>
      </c>
      <c r="B4" s="27" t="s">
        <v>9</v>
      </c>
      <c r="C4" s="27" t="s">
        <v>10</v>
      </c>
      <c r="D4" s="23" t="str">
        <f t="shared" si="0"/>
        <v>Ambient - N/A</v>
      </c>
      <c r="F4" s="26">
        <v>35</v>
      </c>
      <c r="G4" s="27" t="s">
        <v>11</v>
      </c>
      <c r="H4" s="27" t="s">
        <v>13</v>
      </c>
      <c r="I4" s="23" t="str">
        <f t="shared" si="1"/>
        <v>pH 7.5 - Short</v>
      </c>
    </row>
    <row r="5" spans="1:9">
      <c r="A5" s="26">
        <v>4</v>
      </c>
      <c r="B5" s="27" t="s">
        <v>9</v>
      </c>
      <c r="C5" s="27" t="s">
        <v>10</v>
      </c>
      <c r="D5" s="23" t="str">
        <f t="shared" si="0"/>
        <v>Ambient - N/A</v>
      </c>
      <c r="F5" s="26">
        <v>36</v>
      </c>
      <c r="G5" s="27" t="s">
        <v>11</v>
      </c>
      <c r="H5" s="27" t="s">
        <v>13</v>
      </c>
      <c r="I5" s="23" t="str">
        <f t="shared" si="1"/>
        <v>pH 7.5 - Short</v>
      </c>
    </row>
    <row r="6" spans="1:9">
      <c r="A6" s="26">
        <v>5</v>
      </c>
      <c r="B6" s="27" t="s">
        <v>9</v>
      </c>
      <c r="C6" s="27" t="s">
        <v>10</v>
      </c>
      <c r="D6" s="23" t="str">
        <f t="shared" si="0"/>
        <v>Ambient - N/A</v>
      </c>
      <c r="F6" s="26">
        <v>37</v>
      </c>
      <c r="G6" s="27" t="s">
        <v>11</v>
      </c>
      <c r="H6" s="27" t="s">
        <v>13</v>
      </c>
      <c r="I6" s="23" t="str">
        <f t="shared" si="1"/>
        <v>pH 7.5 - Short</v>
      </c>
    </row>
    <row r="7" spans="1:9">
      <c r="A7" s="26">
        <v>6</v>
      </c>
      <c r="B7" s="27" t="s">
        <v>9</v>
      </c>
      <c r="C7" s="27" t="s">
        <v>10</v>
      </c>
      <c r="D7" s="23" t="str">
        <f t="shared" si="0"/>
        <v>Ambient - N/A</v>
      </c>
      <c r="F7" s="26">
        <v>38</v>
      </c>
      <c r="G7" s="27" t="s">
        <v>11</v>
      </c>
      <c r="H7" s="27" t="s">
        <v>13</v>
      </c>
      <c r="I7" s="23" t="str">
        <f t="shared" si="1"/>
        <v>pH 7.5 - Short</v>
      </c>
    </row>
    <row r="8" spans="1:9">
      <c r="A8" s="26">
        <v>7</v>
      </c>
      <c r="B8" s="27" t="s">
        <v>9</v>
      </c>
      <c r="C8" s="27" t="s">
        <v>10</v>
      </c>
      <c r="D8" s="23" t="str">
        <f t="shared" si="0"/>
        <v>Ambient - N/A</v>
      </c>
      <c r="F8" s="26">
        <v>39</v>
      </c>
      <c r="G8" s="27" t="s">
        <v>14</v>
      </c>
      <c r="H8" s="27" t="s">
        <v>12</v>
      </c>
      <c r="I8" s="23" t="str">
        <f t="shared" si="1"/>
        <v>pH 7.8 - Long</v>
      </c>
    </row>
    <row r="9" spans="1:9">
      <c r="A9" s="26">
        <v>8</v>
      </c>
      <c r="B9" s="27" t="s">
        <v>9</v>
      </c>
      <c r="C9" s="27" t="s">
        <v>10</v>
      </c>
      <c r="D9" s="23" t="str">
        <f t="shared" si="0"/>
        <v>Ambient - N/A</v>
      </c>
      <c r="F9" s="26">
        <v>40</v>
      </c>
      <c r="G9" s="27" t="s">
        <v>14</v>
      </c>
      <c r="H9" s="27" t="s">
        <v>12</v>
      </c>
      <c r="I9" s="23" t="str">
        <f t="shared" si="1"/>
        <v>pH 7.8 - Long</v>
      </c>
    </row>
    <row r="10" spans="1:9">
      <c r="A10" s="26">
        <v>9</v>
      </c>
      <c r="B10" s="27" t="s">
        <v>9</v>
      </c>
      <c r="C10" s="27" t="s">
        <v>10</v>
      </c>
      <c r="D10" s="23" t="str">
        <f t="shared" si="0"/>
        <v>Ambient - N/A</v>
      </c>
      <c r="F10" s="26">
        <v>41</v>
      </c>
      <c r="G10" s="27" t="s">
        <v>14</v>
      </c>
      <c r="H10" s="27" t="s">
        <v>12</v>
      </c>
      <c r="I10" s="23" t="str">
        <f t="shared" si="1"/>
        <v>pH 7.8 - Long</v>
      </c>
    </row>
    <row r="11" spans="1:9">
      <c r="A11" s="26">
        <v>10</v>
      </c>
      <c r="B11" s="27" t="s">
        <v>9</v>
      </c>
      <c r="C11" s="27" t="s">
        <v>10</v>
      </c>
      <c r="D11" s="23" t="str">
        <f t="shared" si="0"/>
        <v>Ambient - N/A</v>
      </c>
      <c r="F11" s="26">
        <v>42</v>
      </c>
      <c r="G11" s="27" t="s">
        <v>14</v>
      </c>
      <c r="H11" s="27" t="s">
        <v>12</v>
      </c>
      <c r="I11" s="23" t="str">
        <f t="shared" si="1"/>
        <v>pH 7.8 - Long</v>
      </c>
    </row>
    <row r="12" spans="1:9">
      <c r="A12" s="26">
        <v>11</v>
      </c>
      <c r="B12" s="27" t="s">
        <v>9</v>
      </c>
      <c r="C12" s="27" t="s">
        <v>10</v>
      </c>
      <c r="D12" s="23" t="str">
        <f t="shared" si="0"/>
        <v>Ambient - N/A</v>
      </c>
      <c r="F12" s="26">
        <v>43</v>
      </c>
      <c r="G12" s="27" t="s">
        <v>14</v>
      </c>
      <c r="H12" s="27" t="s">
        <v>12</v>
      </c>
      <c r="I12" s="23" t="str">
        <f t="shared" si="1"/>
        <v>pH 7.8 - Long</v>
      </c>
    </row>
    <row r="13" spans="1:9">
      <c r="A13" s="26">
        <v>12</v>
      </c>
      <c r="B13" s="27" t="s">
        <v>9</v>
      </c>
      <c r="C13" s="27" t="s">
        <v>10</v>
      </c>
      <c r="D13" s="23" t="str">
        <f t="shared" si="0"/>
        <v>Ambient - N/A</v>
      </c>
      <c r="F13" s="26">
        <v>44</v>
      </c>
      <c r="G13" s="27" t="s">
        <v>14</v>
      </c>
      <c r="H13" s="27" t="s">
        <v>12</v>
      </c>
      <c r="I13" s="23" t="str">
        <f t="shared" si="1"/>
        <v>pH 7.8 - Long</v>
      </c>
    </row>
    <row r="14" spans="1:9">
      <c r="A14" s="26">
        <v>13</v>
      </c>
      <c r="B14" s="27" t="s">
        <v>11</v>
      </c>
      <c r="C14" s="27" t="s">
        <v>12</v>
      </c>
      <c r="D14" s="23" t="str">
        <f t="shared" si="0"/>
        <v>pH 7.5 - Long</v>
      </c>
      <c r="F14" s="26">
        <v>45</v>
      </c>
      <c r="G14" s="27" t="s">
        <v>14</v>
      </c>
      <c r="H14" s="27" t="s">
        <v>12</v>
      </c>
      <c r="I14" s="23" t="str">
        <f t="shared" si="1"/>
        <v>pH 7.8 - Long</v>
      </c>
    </row>
    <row r="15" spans="1:9">
      <c r="A15" s="26">
        <v>14</v>
      </c>
      <c r="B15" s="27" t="s">
        <v>11</v>
      </c>
      <c r="C15" s="27" t="s">
        <v>12</v>
      </c>
      <c r="D15" s="23" t="str">
        <f t="shared" si="0"/>
        <v>pH 7.5 - Long</v>
      </c>
      <c r="F15" s="26">
        <v>46</v>
      </c>
      <c r="G15" s="27" t="s">
        <v>14</v>
      </c>
      <c r="H15" s="27" t="s">
        <v>12</v>
      </c>
      <c r="I15" s="23" t="str">
        <f t="shared" si="1"/>
        <v>pH 7.8 - Long</v>
      </c>
    </row>
    <row r="16" spans="1:9">
      <c r="A16" s="26">
        <v>15</v>
      </c>
      <c r="B16" s="27" t="s">
        <v>11</v>
      </c>
      <c r="C16" s="27" t="s">
        <v>12</v>
      </c>
      <c r="D16" s="23" t="str">
        <f t="shared" si="0"/>
        <v>pH 7.5 - Long</v>
      </c>
      <c r="F16" s="26">
        <v>47</v>
      </c>
      <c r="G16" s="27" t="s">
        <v>14</v>
      </c>
      <c r="H16" s="27" t="s">
        <v>12</v>
      </c>
      <c r="I16" s="23" t="str">
        <f t="shared" si="1"/>
        <v>pH 7.8 - Long</v>
      </c>
    </row>
    <row r="17" spans="1:9">
      <c r="A17" s="26">
        <v>16</v>
      </c>
      <c r="B17" s="27" t="s">
        <v>11</v>
      </c>
      <c r="C17" s="27" t="s">
        <v>12</v>
      </c>
      <c r="D17" s="23" t="str">
        <f t="shared" si="0"/>
        <v>pH 7.5 - Long</v>
      </c>
      <c r="F17" s="26">
        <v>48</v>
      </c>
      <c r="G17" s="27" t="s">
        <v>14</v>
      </c>
      <c r="H17" s="27" t="s">
        <v>12</v>
      </c>
      <c r="I17" s="23" t="str">
        <f t="shared" si="1"/>
        <v>pH 7.8 - Long</v>
      </c>
    </row>
    <row r="18" spans="1:9">
      <c r="A18" s="26">
        <v>17</v>
      </c>
      <c r="B18" s="27" t="s">
        <v>11</v>
      </c>
      <c r="C18" s="27" t="s">
        <v>12</v>
      </c>
      <c r="D18" s="23" t="str">
        <f t="shared" si="0"/>
        <v>pH 7.5 - Long</v>
      </c>
      <c r="F18" s="26">
        <v>49</v>
      </c>
      <c r="G18" s="27" t="s">
        <v>14</v>
      </c>
      <c r="H18" s="27" t="s">
        <v>12</v>
      </c>
      <c r="I18" s="23" t="str">
        <f t="shared" si="1"/>
        <v>pH 7.8 - Long</v>
      </c>
    </row>
    <row r="19" spans="1:9">
      <c r="A19" s="26">
        <v>18</v>
      </c>
      <c r="B19" s="27" t="s">
        <v>11</v>
      </c>
      <c r="C19" s="27" t="s">
        <v>12</v>
      </c>
      <c r="D19" s="23" t="str">
        <f t="shared" si="0"/>
        <v>pH 7.5 - Long</v>
      </c>
      <c r="F19" s="26">
        <v>50</v>
      </c>
      <c r="G19" s="27" t="s">
        <v>14</v>
      </c>
      <c r="H19" s="27" t="s">
        <v>12</v>
      </c>
      <c r="I19" s="23" t="str">
        <f t="shared" si="1"/>
        <v>pH 7.8 - Long</v>
      </c>
    </row>
    <row r="20" spans="1:9">
      <c r="A20" s="26">
        <v>19</v>
      </c>
      <c r="B20" s="27" t="s">
        <v>11</v>
      </c>
      <c r="C20" s="27" t="s">
        <v>12</v>
      </c>
      <c r="D20" s="23" t="str">
        <f t="shared" si="0"/>
        <v>pH 7.5 - Long</v>
      </c>
      <c r="F20" s="26">
        <v>51</v>
      </c>
      <c r="G20" s="27" t="s">
        <v>14</v>
      </c>
      <c r="H20" s="27" t="s">
        <v>12</v>
      </c>
      <c r="I20" s="23" t="str">
        <f t="shared" si="1"/>
        <v>pH 7.8 - Long</v>
      </c>
    </row>
    <row r="21" spans="1:9">
      <c r="A21" s="26">
        <v>20</v>
      </c>
      <c r="B21" s="27" t="s">
        <v>11</v>
      </c>
      <c r="C21" s="27" t="s">
        <v>12</v>
      </c>
      <c r="D21" s="23" t="str">
        <f t="shared" si="0"/>
        <v>pH 7.5 - Long</v>
      </c>
      <c r="F21" s="26">
        <v>52</v>
      </c>
      <c r="G21" s="27" t="s">
        <v>14</v>
      </c>
      <c r="H21" s="27" t="s">
        <v>12</v>
      </c>
      <c r="I21" s="23" t="str">
        <f t="shared" si="1"/>
        <v>pH 7.8 - Long</v>
      </c>
    </row>
    <row r="22" spans="1:9">
      <c r="A22" s="26">
        <v>21</v>
      </c>
      <c r="B22" s="27" t="s">
        <v>11</v>
      </c>
      <c r="C22" s="27" t="s">
        <v>12</v>
      </c>
      <c r="D22" s="23" t="str">
        <f t="shared" si="0"/>
        <v>pH 7.5 - Long</v>
      </c>
      <c r="F22" s="26">
        <v>53</v>
      </c>
      <c r="G22" s="27" t="s">
        <v>14</v>
      </c>
      <c r="H22" s="27" t="s">
        <v>13</v>
      </c>
      <c r="I22" s="23" t="str">
        <f t="shared" si="1"/>
        <v>pH 7.8 - Short</v>
      </c>
    </row>
    <row r="23" spans="1:9">
      <c r="A23" s="26">
        <v>22</v>
      </c>
      <c r="B23" s="27" t="s">
        <v>11</v>
      </c>
      <c r="C23" s="27" t="s">
        <v>12</v>
      </c>
      <c r="D23" s="23" t="str">
        <f t="shared" si="0"/>
        <v>pH 7.5 - Long</v>
      </c>
      <c r="F23" s="26">
        <v>54</v>
      </c>
      <c r="G23" s="27" t="s">
        <v>14</v>
      </c>
      <c r="H23" s="27" t="s">
        <v>13</v>
      </c>
      <c r="I23" s="23" t="str">
        <f t="shared" si="1"/>
        <v>pH 7.8 - Short</v>
      </c>
    </row>
    <row r="24" spans="1:9">
      <c r="A24" s="26">
        <v>23</v>
      </c>
      <c r="B24" s="27" t="s">
        <v>11</v>
      </c>
      <c r="C24" s="27" t="s">
        <v>12</v>
      </c>
      <c r="D24" s="23" t="str">
        <f t="shared" si="0"/>
        <v>pH 7.5 - Long</v>
      </c>
      <c r="F24" s="26">
        <v>55</v>
      </c>
      <c r="G24" s="27" t="s">
        <v>14</v>
      </c>
      <c r="H24" s="27" t="s">
        <v>13</v>
      </c>
      <c r="I24" s="23" t="str">
        <f t="shared" si="1"/>
        <v>pH 7.8 - Short</v>
      </c>
    </row>
    <row r="25" spans="1:9">
      <c r="A25" s="26">
        <v>24</v>
      </c>
      <c r="B25" s="27" t="s">
        <v>11</v>
      </c>
      <c r="C25" s="27" t="s">
        <v>12</v>
      </c>
      <c r="D25" s="23" t="str">
        <f t="shared" si="0"/>
        <v>pH 7.5 - Long</v>
      </c>
      <c r="F25" s="26">
        <v>56</v>
      </c>
      <c r="G25" s="27" t="s">
        <v>14</v>
      </c>
      <c r="H25" s="27" t="s">
        <v>13</v>
      </c>
      <c r="I25" s="23" t="str">
        <f t="shared" si="1"/>
        <v>pH 7.8 - Short</v>
      </c>
    </row>
    <row r="26" spans="1:9">
      <c r="A26" s="26">
        <v>25</v>
      </c>
      <c r="B26" s="27" t="s">
        <v>11</v>
      </c>
      <c r="C26" s="27" t="s">
        <v>12</v>
      </c>
      <c r="D26" s="23" t="str">
        <f t="shared" si="0"/>
        <v>pH 7.5 - Long</v>
      </c>
      <c r="F26" s="26">
        <v>57</v>
      </c>
      <c r="G26" s="27" t="s">
        <v>14</v>
      </c>
      <c r="H26" s="27" t="s">
        <v>13</v>
      </c>
      <c r="I26" s="23" t="str">
        <f t="shared" si="1"/>
        <v>pH 7.8 - Short</v>
      </c>
    </row>
    <row r="27" spans="1:9">
      <c r="A27" s="26">
        <v>26</v>
      </c>
      <c r="B27" s="27" t="s">
        <v>11</v>
      </c>
      <c r="C27" s="27" t="s">
        <v>12</v>
      </c>
      <c r="D27" s="23" t="str">
        <f t="shared" si="0"/>
        <v>pH 7.5 - Long</v>
      </c>
      <c r="F27" s="26">
        <v>58</v>
      </c>
      <c r="G27" s="27" t="s">
        <v>14</v>
      </c>
      <c r="H27" s="27" t="s">
        <v>13</v>
      </c>
      <c r="I27" s="23" t="str">
        <f t="shared" si="1"/>
        <v>pH 7.8 - Short</v>
      </c>
    </row>
    <row r="28" spans="1:9">
      <c r="A28" s="26">
        <v>27</v>
      </c>
      <c r="B28" s="27" t="s">
        <v>11</v>
      </c>
      <c r="C28" s="27" t="s">
        <v>13</v>
      </c>
      <c r="D28" s="23" t="str">
        <f t="shared" si="0"/>
        <v>pH 7.5 - Short</v>
      </c>
      <c r="F28" s="26">
        <v>59</v>
      </c>
      <c r="G28" s="27" t="s">
        <v>14</v>
      </c>
      <c r="H28" s="27" t="s">
        <v>13</v>
      </c>
      <c r="I28" s="23" t="str">
        <f t="shared" si="1"/>
        <v>pH 7.8 - Short</v>
      </c>
    </row>
    <row r="29" spans="1:9">
      <c r="A29" s="26">
        <v>28</v>
      </c>
      <c r="B29" s="27" t="s">
        <v>11</v>
      </c>
      <c r="C29" s="27" t="s">
        <v>13</v>
      </c>
      <c r="D29" s="23" t="str">
        <f t="shared" si="0"/>
        <v>pH 7.5 - Short</v>
      </c>
      <c r="F29" s="26">
        <v>60</v>
      </c>
      <c r="G29" s="27" t="s">
        <v>14</v>
      </c>
      <c r="H29" s="27" t="s">
        <v>13</v>
      </c>
      <c r="I29" s="23" t="str">
        <f t="shared" si="1"/>
        <v>pH 7.8 - Short</v>
      </c>
    </row>
    <row r="30" spans="1:9">
      <c r="A30" s="26">
        <v>29</v>
      </c>
      <c r="B30" s="27" t="s">
        <v>11</v>
      </c>
      <c r="C30" s="27" t="s">
        <v>13</v>
      </c>
      <c r="D30" s="23" t="str">
        <f t="shared" si="0"/>
        <v>pH 7.5 - Short</v>
      </c>
      <c r="F30" s="26">
        <v>61</v>
      </c>
      <c r="G30" s="27" t="s">
        <v>14</v>
      </c>
      <c r="H30" s="27" t="s">
        <v>13</v>
      </c>
      <c r="I30" s="23" t="str">
        <f t="shared" si="1"/>
        <v>pH 7.8 - Short</v>
      </c>
    </row>
    <row r="31" spans="1:9">
      <c r="A31" s="26">
        <v>30</v>
      </c>
      <c r="B31" s="27" t="s">
        <v>11</v>
      </c>
      <c r="C31" s="27" t="s">
        <v>13</v>
      </c>
      <c r="D31" s="23" t="str">
        <f t="shared" si="0"/>
        <v>pH 7.5 - Short</v>
      </c>
      <c r="F31" s="26">
        <v>62</v>
      </c>
      <c r="G31" s="27" t="s">
        <v>14</v>
      </c>
      <c r="H31" s="27" t="s">
        <v>13</v>
      </c>
      <c r="I31" s="23" t="str">
        <f t="shared" si="1"/>
        <v>pH 7.8 - Short</v>
      </c>
    </row>
    <row r="32" spans="1:9">
      <c r="A32" s="26">
        <v>31</v>
      </c>
      <c r="B32" s="27" t="s">
        <v>11</v>
      </c>
      <c r="C32" s="27" t="s">
        <v>13</v>
      </c>
      <c r="D32" s="23" t="str">
        <f t="shared" si="0"/>
        <v>pH 7.5 - Short</v>
      </c>
      <c r="F32" s="28">
        <v>63</v>
      </c>
      <c r="G32" s="29" t="s">
        <v>14</v>
      </c>
      <c r="H32" s="29" t="s">
        <v>13</v>
      </c>
      <c r="I32" s="23" t="str">
        <f t="shared" si="1"/>
        <v>pH 7.8 - Short</v>
      </c>
    </row>
    <row r="33" spans="1:4">
      <c r="A33" s="28">
        <v>32</v>
      </c>
      <c r="B33" s="29" t="s">
        <v>11</v>
      </c>
      <c r="C33" s="29" t="s">
        <v>13</v>
      </c>
      <c r="D33" s="23" t="str">
        <f t="shared" si="0"/>
        <v>pH 7.5 - Short</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J67"/>
  <sheetViews>
    <sheetView tabSelected="1" topLeftCell="A38" zoomScaleNormal="100" workbookViewId="0">
      <selection activeCell="G57" sqref="G57"/>
    </sheetView>
  </sheetViews>
  <sheetFormatPr defaultColWidth="9.140625" defaultRowHeight="15"/>
  <cols>
    <col min="1" max="1" width="16.42578125" style="30" customWidth="1"/>
    <col min="2" max="2" width="16.7109375" style="30" customWidth="1"/>
    <col min="3" max="4" width="9.140625" style="30"/>
    <col min="5" max="5" width="9.140625" style="31"/>
    <col min="6" max="6" width="9.140625" style="30"/>
    <col min="7" max="7" width="11.42578125" style="32" customWidth="1"/>
    <col min="8" max="9" width="9.140625" style="30"/>
    <col min="10" max="10" width="9.140625" style="32"/>
    <col min="11" max="20" width="9.140625" style="30"/>
    <col min="21" max="21" width="13.140625" style="33" customWidth="1"/>
    <col min="22" max="22" width="13.140625" style="30" customWidth="1"/>
    <col min="23" max="23" width="13.140625" style="32" customWidth="1"/>
    <col min="24" max="956" width="9.140625" style="30"/>
  </cols>
  <sheetData>
    <row r="1" spans="1:1024" s="34" customFormat="1" ht="21">
      <c r="B1" s="35"/>
      <c r="C1" s="36"/>
      <c r="D1" s="36"/>
      <c r="E1" s="14" t="s">
        <v>16</v>
      </c>
      <c r="F1" s="14"/>
      <c r="G1" s="14"/>
      <c r="H1" s="14"/>
      <c r="I1" s="14"/>
      <c r="J1" s="14"/>
      <c r="K1" s="14"/>
      <c r="L1" s="14"/>
      <c r="Q1" s="37"/>
      <c r="R1" s="37"/>
      <c r="S1" s="37"/>
      <c r="T1" s="37"/>
      <c r="U1" s="38"/>
      <c r="V1" s="39"/>
      <c r="W1" s="40"/>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s="34" customFormat="1" ht="21">
      <c r="B2" s="35"/>
      <c r="C2" s="36"/>
      <c r="D2" s="36"/>
      <c r="E2" s="41"/>
      <c r="F2" s="13" t="s">
        <v>17</v>
      </c>
      <c r="G2" s="13"/>
      <c r="H2" s="12" t="s">
        <v>18</v>
      </c>
      <c r="I2" s="12"/>
      <c r="J2" s="12"/>
      <c r="K2" s="42"/>
      <c r="L2" s="43"/>
      <c r="M2" s="11" t="s">
        <v>19</v>
      </c>
      <c r="N2" s="11"/>
      <c r="O2" s="11"/>
      <c r="P2" s="11"/>
      <c r="Q2" s="11"/>
      <c r="R2" s="11"/>
      <c r="S2" s="37"/>
      <c r="T2" s="37"/>
      <c r="U2" s="10" t="s">
        <v>20</v>
      </c>
      <c r="V2" s="10"/>
      <c r="W2" s="10"/>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s="44" customFormat="1" ht="93" customHeight="1">
      <c r="A3" s="44" t="s">
        <v>21</v>
      </c>
      <c r="B3" s="45" t="s">
        <v>22</v>
      </c>
      <c r="C3" s="46" t="s">
        <v>23</v>
      </c>
      <c r="D3" s="46" t="s">
        <v>24</v>
      </c>
      <c r="E3" s="47" t="s">
        <v>25</v>
      </c>
      <c r="F3" s="44" t="s">
        <v>26</v>
      </c>
      <c r="G3" s="48" t="s">
        <v>27</v>
      </c>
      <c r="H3" s="47" t="s">
        <v>28</v>
      </c>
      <c r="I3" s="49" t="s">
        <v>27</v>
      </c>
      <c r="J3" s="50" t="s">
        <v>29</v>
      </c>
      <c r="K3" s="47" t="s">
        <v>30</v>
      </c>
      <c r="L3" s="51" t="s">
        <v>31</v>
      </c>
      <c r="M3" s="44" t="s">
        <v>32</v>
      </c>
      <c r="N3" s="52" t="s">
        <v>33</v>
      </c>
      <c r="O3" s="53" t="s">
        <v>34</v>
      </c>
      <c r="P3" s="54" t="s">
        <v>35</v>
      </c>
      <c r="Q3" s="55" t="s">
        <v>36</v>
      </c>
      <c r="R3" s="56" t="s">
        <v>37</v>
      </c>
      <c r="S3" s="57" t="s">
        <v>38</v>
      </c>
      <c r="T3" s="58" t="s">
        <v>39</v>
      </c>
      <c r="U3" s="59" t="s">
        <v>40</v>
      </c>
      <c r="V3" s="60" t="s">
        <v>41</v>
      </c>
      <c r="W3" s="61" t="s">
        <v>42</v>
      </c>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c r="A4" s="62" t="s">
        <v>43</v>
      </c>
      <c r="B4" s="63" t="s">
        <v>44</v>
      </c>
      <c r="C4" s="64">
        <v>1</v>
      </c>
      <c r="D4" s="64" t="s">
        <v>45</v>
      </c>
      <c r="E4" s="31">
        <v>49</v>
      </c>
      <c r="F4" s="65">
        <v>2</v>
      </c>
      <c r="G4" s="66">
        <v>165</v>
      </c>
      <c r="H4" s="67">
        <v>1</v>
      </c>
      <c r="I4" s="68">
        <v>176.05430000000001</v>
      </c>
      <c r="J4" s="32">
        <v>7.4</v>
      </c>
      <c r="K4" s="69">
        <f t="shared" ref="K4:K35" si="0">E4-F4-H4</f>
        <v>46</v>
      </c>
      <c r="L4" s="69">
        <f t="shared" ref="L4:L35" si="1">K4*G4</f>
        <v>7590</v>
      </c>
      <c r="M4" s="69">
        <v>1000</v>
      </c>
      <c r="N4" s="69">
        <f t="shared" ref="N4:N35" si="2">M4/G4</f>
        <v>6.0606060606060606</v>
      </c>
      <c r="O4" s="69">
        <f t="shared" ref="O4:O35" si="3">50-N4</f>
        <v>43.939393939393938</v>
      </c>
      <c r="P4" s="69">
        <f t="shared" ref="P4:P35" si="4">K4-N4</f>
        <v>39.939393939393938</v>
      </c>
      <c r="Q4" s="30" t="s">
        <v>46</v>
      </c>
      <c r="R4" s="70">
        <v>12</v>
      </c>
      <c r="S4" s="71">
        <v>30</v>
      </c>
      <c r="T4" s="72">
        <v>16.976833976834001</v>
      </c>
      <c r="U4" s="33">
        <v>22.411000000000001</v>
      </c>
      <c r="V4" s="30">
        <v>493</v>
      </c>
      <c r="W4" s="32">
        <f t="shared" ref="W4:W35" si="5">V4-130</f>
        <v>363</v>
      </c>
    </row>
    <row r="5" spans="1:1024">
      <c r="A5" s="62" t="s">
        <v>47</v>
      </c>
      <c r="B5" s="63" t="s">
        <v>44</v>
      </c>
      <c r="C5" s="64">
        <v>1</v>
      </c>
      <c r="D5" s="64" t="s">
        <v>45</v>
      </c>
      <c r="E5" s="31">
        <v>49</v>
      </c>
      <c r="F5" s="65">
        <v>2</v>
      </c>
      <c r="G5" s="66">
        <v>114</v>
      </c>
      <c r="H5" s="67">
        <v>1</v>
      </c>
      <c r="I5" s="68">
        <v>154.2285</v>
      </c>
      <c r="J5" s="32">
        <v>7.2</v>
      </c>
      <c r="K5" s="69">
        <f t="shared" si="0"/>
        <v>46</v>
      </c>
      <c r="L5" s="69">
        <f t="shared" si="1"/>
        <v>5244</v>
      </c>
      <c r="M5" s="69">
        <v>1000</v>
      </c>
      <c r="N5" s="69">
        <f t="shared" si="2"/>
        <v>8.7719298245614041</v>
      </c>
      <c r="O5" s="69">
        <f t="shared" si="3"/>
        <v>41.228070175438596</v>
      </c>
      <c r="P5" s="69">
        <f t="shared" si="4"/>
        <v>37.228070175438596</v>
      </c>
      <c r="Q5" s="30" t="s">
        <v>48</v>
      </c>
      <c r="R5" s="70">
        <v>12</v>
      </c>
      <c r="S5" s="71">
        <v>30</v>
      </c>
      <c r="T5" s="72">
        <v>17.7258687258687</v>
      </c>
      <c r="U5" s="33">
        <v>26.473500000000001</v>
      </c>
      <c r="V5" s="30">
        <v>466</v>
      </c>
      <c r="W5" s="32">
        <f t="shared" si="5"/>
        <v>336</v>
      </c>
    </row>
    <row r="6" spans="1:1024">
      <c r="A6" s="62" t="s">
        <v>49</v>
      </c>
      <c r="B6" s="63" t="s">
        <v>44</v>
      </c>
      <c r="C6" s="64">
        <v>1</v>
      </c>
      <c r="D6" s="64" t="s">
        <v>45</v>
      </c>
      <c r="E6" s="31">
        <v>50</v>
      </c>
      <c r="F6" s="65">
        <v>2</v>
      </c>
      <c r="G6" s="66">
        <v>164</v>
      </c>
      <c r="H6" s="67">
        <v>1</v>
      </c>
      <c r="I6" s="68">
        <v>216.45169999999999</v>
      </c>
      <c r="J6" s="32">
        <v>8.1</v>
      </c>
      <c r="K6" s="69">
        <f t="shared" si="0"/>
        <v>47</v>
      </c>
      <c r="L6" s="69">
        <f t="shared" si="1"/>
        <v>7708</v>
      </c>
      <c r="M6" s="69">
        <v>1000</v>
      </c>
      <c r="N6" s="69">
        <f t="shared" si="2"/>
        <v>6.0975609756097562</v>
      </c>
      <c r="O6" s="69">
        <f t="shared" si="3"/>
        <v>43.902439024390247</v>
      </c>
      <c r="P6" s="69">
        <f t="shared" si="4"/>
        <v>40.902439024390247</v>
      </c>
      <c r="Q6" s="30" t="s">
        <v>50</v>
      </c>
      <c r="R6" s="70">
        <v>12</v>
      </c>
      <c r="S6" s="71">
        <v>30</v>
      </c>
      <c r="T6" s="72">
        <v>19.011583011582999</v>
      </c>
      <c r="U6" s="33">
        <v>23.302499999999998</v>
      </c>
      <c r="V6" s="30">
        <v>474</v>
      </c>
      <c r="W6" s="32">
        <f t="shared" si="5"/>
        <v>344</v>
      </c>
    </row>
    <row r="7" spans="1:1024">
      <c r="A7" s="62" t="s">
        <v>51</v>
      </c>
      <c r="B7" s="63" t="s">
        <v>44</v>
      </c>
      <c r="C7" s="64">
        <v>1</v>
      </c>
      <c r="D7" s="64" t="s">
        <v>45</v>
      </c>
      <c r="E7" s="31">
        <v>49</v>
      </c>
      <c r="F7" s="65">
        <v>2</v>
      </c>
      <c r="G7" s="66">
        <v>90.4</v>
      </c>
      <c r="H7" s="67">
        <v>1</v>
      </c>
      <c r="I7" s="68">
        <v>122.4872</v>
      </c>
      <c r="J7" s="32">
        <v>6.2</v>
      </c>
      <c r="K7" s="69">
        <f t="shared" si="0"/>
        <v>46</v>
      </c>
      <c r="L7" s="69">
        <f t="shared" si="1"/>
        <v>4158.4000000000005</v>
      </c>
      <c r="M7" s="69">
        <v>1000</v>
      </c>
      <c r="N7" s="69">
        <f t="shared" si="2"/>
        <v>11.061946902654867</v>
      </c>
      <c r="O7" s="69">
        <f t="shared" si="3"/>
        <v>38.938053097345133</v>
      </c>
      <c r="P7" s="69">
        <f t="shared" si="4"/>
        <v>34.938053097345133</v>
      </c>
      <c r="Q7" s="30" t="s">
        <v>52</v>
      </c>
      <c r="R7" s="70">
        <v>12</v>
      </c>
      <c r="S7" s="71">
        <v>30</v>
      </c>
      <c r="T7" s="72">
        <v>15.749034749034699</v>
      </c>
      <c r="U7" s="33">
        <v>30.1997</v>
      </c>
      <c r="V7" s="30">
        <v>499</v>
      </c>
      <c r="W7" s="32">
        <f t="shared" si="5"/>
        <v>369</v>
      </c>
    </row>
    <row r="8" spans="1:1024">
      <c r="A8" s="62" t="s">
        <v>53</v>
      </c>
      <c r="B8" s="63" t="s">
        <v>44</v>
      </c>
      <c r="C8" s="64">
        <v>1</v>
      </c>
      <c r="D8" s="64" t="s">
        <v>45</v>
      </c>
      <c r="E8" s="31">
        <v>50</v>
      </c>
      <c r="F8" s="65">
        <v>2</v>
      </c>
      <c r="G8" s="66">
        <v>125</v>
      </c>
      <c r="H8" s="67">
        <v>1</v>
      </c>
      <c r="I8" s="68">
        <v>158.58459999999999</v>
      </c>
      <c r="J8" s="32">
        <v>6</v>
      </c>
      <c r="K8" s="69">
        <f t="shared" si="0"/>
        <v>47</v>
      </c>
      <c r="L8" s="69">
        <f t="shared" si="1"/>
        <v>5875</v>
      </c>
      <c r="M8" s="69">
        <v>1000</v>
      </c>
      <c r="N8" s="69">
        <f t="shared" si="2"/>
        <v>8</v>
      </c>
      <c r="O8" s="69">
        <f t="shared" si="3"/>
        <v>42</v>
      </c>
      <c r="P8" s="69">
        <f t="shared" si="4"/>
        <v>39</v>
      </c>
      <c r="Q8" s="30" t="s">
        <v>54</v>
      </c>
      <c r="R8" s="70">
        <v>12</v>
      </c>
      <c r="S8" s="71">
        <v>30</v>
      </c>
      <c r="T8" s="72">
        <v>15.6525096525097</v>
      </c>
      <c r="U8" s="33">
        <v>16.062799999999999</v>
      </c>
      <c r="V8" s="30">
        <v>487</v>
      </c>
      <c r="W8" s="32">
        <f t="shared" si="5"/>
        <v>357</v>
      </c>
    </row>
    <row r="9" spans="1:1024">
      <c r="A9" s="62" t="s">
        <v>55</v>
      </c>
      <c r="B9" s="63" t="s">
        <v>44</v>
      </c>
      <c r="C9" s="64">
        <v>1</v>
      </c>
      <c r="D9" s="64" t="s">
        <v>45</v>
      </c>
      <c r="E9" s="31">
        <v>49</v>
      </c>
      <c r="F9" s="65">
        <v>2</v>
      </c>
      <c r="G9" s="66">
        <v>140</v>
      </c>
      <c r="H9" s="67">
        <v>1</v>
      </c>
      <c r="I9" s="68">
        <v>186.90649999999999</v>
      </c>
      <c r="J9" s="32">
        <v>6.8</v>
      </c>
      <c r="K9" s="69">
        <f t="shared" si="0"/>
        <v>46</v>
      </c>
      <c r="L9" s="69">
        <f t="shared" si="1"/>
        <v>6440</v>
      </c>
      <c r="M9" s="69">
        <v>1000</v>
      </c>
      <c r="N9" s="69">
        <f t="shared" si="2"/>
        <v>7.1428571428571432</v>
      </c>
      <c r="O9" s="69">
        <f t="shared" si="3"/>
        <v>42.857142857142854</v>
      </c>
      <c r="P9" s="69">
        <f t="shared" si="4"/>
        <v>38.857142857142854</v>
      </c>
      <c r="Q9" s="30" t="s">
        <v>56</v>
      </c>
      <c r="R9" s="70">
        <v>12</v>
      </c>
      <c r="S9" s="71">
        <v>30</v>
      </c>
      <c r="T9" s="72">
        <v>15.4980694980695</v>
      </c>
      <c r="U9" s="33">
        <v>22.317599999999999</v>
      </c>
      <c r="V9" s="30">
        <v>477</v>
      </c>
      <c r="W9" s="32">
        <f t="shared" si="5"/>
        <v>347</v>
      </c>
    </row>
    <row r="10" spans="1:1024">
      <c r="A10" s="62" t="s">
        <v>57</v>
      </c>
      <c r="B10" s="63" t="s">
        <v>44</v>
      </c>
      <c r="C10" s="64">
        <v>2</v>
      </c>
      <c r="D10" s="64" t="s">
        <v>45</v>
      </c>
      <c r="E10" s="31">
        <v>61</v>
      </c>
      <c r="F10" s="65">
        <v>2</v>
      </c>
      <c r="G10" s="66">
        <v>41.8</v>
      </c>
      <c r="H10" s="67">
        <v>1</v>
      </c>
      <c r="I10" s="68">
        <v>60.831299999999999</v>
      </c>
      <c r="J10" s="32">
        <v>8.6999999999999993</v>
      </c>
      <c r="K10" s="69">
        <f t="shared" si="0"/>
        <v>58</v>
      </c>
      <c r="L10" s="69">
        <f t="shared" si="1"/>
        <v>2424.3999999999996</v>
      </c>
      <c r="M10" s="69">
        <v>1000</v>
      </c>
      <c r="N10" s="69">
        <f t="shared" si="2"/>
        <v>23.923444976076556</v>
      </c>
      <c r="O10" s="69">
        <f t="shared" si="3"/>
        <v>26.076555023923444</v>
      </c>
      <c r="P10" s="69">
        <f t="shared" si="4"/>
        <v>34.076555023923447</v>
      </c>
      <c r="Q10" s="30" t="s">
        <v>58</v>
      </c>
      <c r="R10" s="70">
        <v>12</v>
      </c>
      <c r="S10" s="71">
        <v>30</v>
      </c>
      <c r="T10" s="72">
        <v>17.471042471042502</v>
      </c>
      <c r="U10" s="33">
        <v>9.1783999999999999</v>
      </c>
      <c r="V10" s="30">
        <v>459</v>
      </c>
      <c r="W10" s="32">
        <f t="shared" si="5"/>
        <v>329</v>
      </c>
    </row>
    <row r="11" spans="1:1024">
      <c r="A11" s="62" t="s">
        <v>59</v>
      </c>
      <c r="B11" s="63" t="s">
        <v>44</v>
      </c>
      <c r="C11" s="64">
        <v>2</v>
      </c>
      <c r="D11" s="64" t="s">
        <v>45</v>
      </c>
      <c r="E11" s="31">
        <v>50</v>
      </c>
      <c r="F11" s="65">
        <v>2</v>
      </c>
      <c r="G11" s="66">
        <v>117</v>
      </c>
      <c r="H11" s="67">
        <v>1</v>
      </c>
      <c r="I11" s="68">
        <v>167.50389999999999</v>
      </c>
      <c r="J11" s="32">
        <v>6.7</v>
      </c>
      <c r="K11" s="69">
        <f t="shared" si="0"/>
        <v>47</v>
      </c>
      <c r="L11" s="69">
        <f t="shared" si="1"/>
        <v>5499</v>
      </c>
      <c r="M11" s="69">
        <v>1000</v>
      </c>
      <c r="N11" s="69">
        <f t="shared" si="2"/>
        <v>8.5470085470085468</v>
      </c>
      <c r="O11" s="69">
        <f t="shared" si="3"/>
        <v>41.452991452991455</v>
      </c>
      <c r="P11" s="69">
        <f t="shared" si="4"/>
        <v>38.452991452991455</v>
      </c>
      <c r="Q11" s="30" t="s">
        <v>60</v>
      </c>
      <c r="R11" s="70">
        <v>12</v>
      </c>
      <c r="S11" s="71">
        <v>30</v>
      </c>
      <c r="T11" s="72">
        <v>17.1003861003861</v>
      </c>
      <c r="U11" s="33">
        <v>36.116900000000001</v>
      </c>
      <c r="V11" s="30">
        <v>455</v>
      </c>
      <c r="W11" s="32">
        <f t="shared" si="5"/>
        <v>325</v>
      </c>
    </row>
    <row r="12" spans="1:1024">
      <c r="A12" s="62" t="s">
        <v>61</v>
      </c>
      <c r="B12" s="63" t="s">
        <v>44</v>
      </c>
      <c r="C12" s="64">
        <v>2</v>
      </c>
      <c r="D12" s="64" t="s">
        <v>62</v>
      </c>
      <c r="E12" s="31">
        <v>50</v>
      </c>
      <c r="F12" s="65">
        <v>2</v>
      </c>
      <c r="G12" s="66">
        <v>91</v>
      </c>
      <c r="H12" s="67">
        <v>1</v>
      </c>
      <c r="I12" s="68">
        <v>89.161799999999999</v>
      </c>
      <c r="J12" s="32">
        <v>5.8</v>
      </c>
      <c r="K12" s="69">
        <f t="shared" si="0"/>
        <v>47</v>
      </c>
      <c r="L12" s="69">
        <f t="shared" si="1"/>
        <v>4277</v>
      </c>
      <c r="M12" s="69">
        <v>1000</v>
      </c>
      <c r="N12" s="69">
        <f t="shared" si="2"/>
        <v>10.989010989010989</v>
      </c>
      <c r="O12" s="69">
        <f t="shared" si="3"/>
        <v>39.010989010989007</v>
      </c>
      <c r="P12" s="69">
        <f t="shared" si="4"/>
        <v>36.010989010989007</v>
      </c>
      <c r="Q12" s="30" t="s">
        <v>63</v>
      </c>
      <c r="R12" s="70">
        <v>12</v>
      </c>
      <c r="S12" s="71">
        <v>30</v>
      </c>
      <c r="T12" s="72">
        <v>13.096525096525101</v>
      </c>
      <c r="U12" s="33">
        <v>19.1053</v>
      </c>
      <c r="V12" s="30">
        <v>494</v>
      </c>
      <c r="W12" s="32">
        <f t="shared" si="5"/>
        <v>364</v>
      </c>
    </row>
    <row r="13" spans="1:1024">
      <c r="A13" s="62" t="s">
        <v>64</v>
      </c>
      <c r="B13" s="63" t="s">
        <v>44</v>
      </c>
      <c r="C13" s="64">
        <v>2</v>
      </c>
      <c r="D13" s="64" t="s">
        <v>62</v>
      </c>
      <c r="E13" s="31">
        <v>54</v>
      </c>
      <c r="F13" s="65">
        <v>2</v>
      </c>
      <c r="G13" s="66">
        <v>124</v>
      </c>
      <c r="H13" s="67">
        <v>1</v>
      </c>
      <c r="I13" s="68">
        <v>138.86019999999999</v>
      </c>
      <c r="J13" s="32">
        <v>7.1</v>
      </c>
      <c r="K13" s="69">
        <f t="shared" si="0"/>
        <v>51</v>
      </c>
      <c r="L13" s="69">
        <f t="shared" si="1"/>
        <v>6324</v>
      </c>
      <c r="M13" s="69">
        <v>1000</v>
      </c>
      <c r="N13" s="69">
        <f t="shared" si="2"/>
        <v>8.064516129032258</v>
      </c>
      <c r="O13" s="69">
        <f t="shared" si="3"/>
        <v>41.935483870967744</v>
      </c>
      <c r="P13" s="69">
        <f t="shared" si="4"/>
        <v>42.935483870967744</v>
      </c>
      <c r="Q13" s="30" t="s">
        <v>65</v>
      </c>
      <c r="R13" s="70">
        <v>12</v>
      </c>
      <c r="S13" s="71">
        <v>30</v>
      </c>
      <c r="T13" s="72">
        <v>17.625482625482601</v>
      </c>
      <c r="U13" s="33">
        <v>25.581</v>
      </c>
      <c r="V13" s="30">
        <v>493</v>
      </c>
      <c r="W13" s="32">
        <f t="shared" si="5"/>
        <v>363</v>
      </c>
    </row>
    <row r="14" spans="1:1024">
      <c r="A14" s="62" t="s">
        <v>66</v>
      </c>
      <c r="B14" s="63" t="s">
        <v>44</v>
      </c>
      <c r="C14" s="64">
        <v>2</v>
      </c>
      <c r="D14" s="64" t="s">
        <v>62</v>
      </c>
      <c r="E14" s="31">
        <v>53</v>
      </c>
      <c r="F14" s="65">
        <v>2</v>
      </c>
      <c r="G14" s="66">
        <v>139</v>
      </c>
      <c r="H14" s="67">
        <v>1</v>
      </c>
      <c r="I14" s="68">
        <v>190.3912</v>
      </c>
      <c r="J14" s="32">
        <v>3.7</v>
      </c>
      <c r="K14" s="69">
        <f t="shared" si="0"/>
        <v>50</v>
      </c>
      <c r="L14" s="69">
        <f t="shared" si="1"/>
        <v>6950</v>
      </c>
      <c r="M14" s="69">
        <v>1000</v>
      </c>
      <c r="N14" s="69">
        <f t="shared" si="2"/>
        <v>7.1942446043165464</v>
      </c>
      <c r="O14" s="69">
        <f t="shared" si="3"/>
        <v>42.805755395683455</v>
      </c>
      <c r="P14" s="69">
        <f t="shared" si="4"/>
        <v>42.805755395683455</v>
      </c>
      <c r="Q14" s="30" t="s">
        <v>67</v>
      </c>
      <c r="R14" s="70">
        <v>12</v>
      </c>
      <c r="S14" s="71">
        <v>30</v>
      </c>
      <c r="T14" s="72">
        <v>16.664092664092699</v>
      </c>
      <c r="U14" s="33">
        <v>10.661300000000001</v>
      </c>
      <c r="V14" s="30">
        <v>502</v>
      </c>
      <c r="W14" s="32">
        <f t="shared" si="5"/>
        <v>372</v>
      </c>
    </row>
    <row r="15" spans="1:1024">
      <c r="A15" s="62" t="s">
        <v>68</v>
      </c>
      <c r="B15" s="63" t="s">
        <v>44</v>
      </c>
      <c r="C15" s="64">
        <v>2</v>
      </c>
      <c r="D15" s="64" t="s">
        <v>62</v>
      </c>
      <c r="E15" s="31">
        <v>51</v>
      </c>
      <c r="F15" s="65">
        <v>2</v>
      </c>
      <c r="G15" s="66">
        <v>77.8</v>
      </c>
      <c r="H15" s="67">
        <v>1</v>
      </c>
      <c r="I15" s="68">
        <v>127.4004</v>
      </c>
      <c r="J15" s="32">
        <v>4.9000000000000004</v>
      </c>
      <c r="K15" s="69">
        <f t="shared" si="0"/>
        <v>48</v>
      </c>
      <c r="L15" s="69">
        <f t="shared" si="1"/>
        <v>3734.3999999999996</v>
      </c>
      <c r="M15" s="69">
        <v>1000</v>
      </c>
      <c r="N15" s="69">
        <f t="shared" si="2"/>
        <v>12.853470437017995</v>
      </c>
      <c r="O15" s="69">
        <f t="shared" si="3"/>
        <v>37.146529562982003</v>
      </c>
      <c r="P15" s="69">
        <f t="shared" si="4"/>
        <v>35.146529562982003</v>
      </c>
      <c r="Q15" s="30" t="s">
        <v>69</v>
      </c>
      <c r="R15" s="70">
        <v>12</v>
      </c>
      <c r="S15" s="71">
        <v>30</v>
      </c>
      <c r="T15" s="72">
        <v>16.922779922779899</v>
      </c>
      <c r="U15" s="33">
        <v>21.4816</v>
      </c>
      <c r="V15" s="30">
        <v>501</v>
      </c>
      <c r="W15" s="32">
        <f t="shared" si="5"/>
        <v>371</v>
      </c>
    </row>
    <row r="16" spans="1:1024">
      <c r="A16" s="62" t="s">
        <v>70</v>
      </c>
      <c r="B16" s="63" t="s">
        <v>71</v>
      </c>
      <c r="C16" s="64">
        <v>5</v>
      </c>
      <c r="D16" s="64" t="s">
        <v>62</v>
      </c>
      <c r="E16" s="31">
        <v>51</v>
      </c>
      <c r="F16" s="65">
        <v>2</v>
      </c>
      <c r="G16" s="66">
        <v>86</v>
      </c>
      <c r="H16" s="67">
        <v>1</v>
      </c>
      <c r="I16" s="68">
        <v>124.0609</v>
      </c>
      <c r="J16" s="32">
        <v>5.0999999999999996</v>
      </c>
      <c r="K16" s="69">
        <f t="shared" si="0"/>
        <v>48</v>
      </c>
      <c r="L16" s="69">
        <f t="shared" si="1"/>
        <v>4128</v>
      </c>
      <c r="M16" s="69">
        <v>1000</v>
      </c>
      <c r="N16" s="69">
        <f t="shared" si="2"/>
        <v>11.627906976744185</v>
      </c>
      <c r="O16" s="69">
        <f t="shared" si="3"/>
        <v>38.372093023255815</v>
      </c>
      <c r="P16" s="69">
        <f t="shared" si="4"/>
        <v>36.372093023255815</v>
      </c>
      <c r="Q16" s="30" t="s">
        <v>72</v>
      </c>
      <c r="R16" s="70">
        <v>12</v>
      </c>
      <c r="S16" s="71">
        <v>30</v>
      </c>
      <c r="T16" s="72">
        <v>16.023166023165999</v>
      </c>
      <c r="U16" s="33">
        <v>16.415099999999999</v>
      </c>
      <c r="V16" s="30">
        <v>500</v>
      </c>
      <c r="W16" s="32">
        <f t="shared" si="5"/>
        <v>370</v>
      </c>
    </row>
    <row r="17" spans="1:23">
      <c r="A17" s="62" t="s">
        <v>73</v>
      </c>
      <c r="B17" s="63" t="s">
        <v>71</v>
      </c>
      <c r="C17" s="64">
        <v>5</v>
      </c>
      <c r="D17" s="64" t="s">
        <v>62</v>
      </c>
      <c r="E17" s="31">
        <v>57</v>
      </c>
      <c r="F17" s="65">
        <v>2</v>
      </c>
      <c r="G17" s="66">
        <v>109</v>
      </c>
      <c r="H17" s="67">
        <v>1</v>
      </c>
      <c r="I17" s="68">
        <v>287.7636</v>
      </c>
      <c r="J17" s="32">
        <v>4.7</v>
      </c>
      <c r="K17" s="69">
        <f t="shared" si="0"/>
        <v>54</v>
      </c>
      <c r="L17" s="69">
        <f t="shared" si="1"/>
        <v>5886</v>
      </c>
      <c r="M17" s="69">
        <v>1000</v>
      </c>
      <c r="N17" s="69">
        <f t="shared" si="2"/>
        <v>9.1743119266055047</v>
      </c>
      <c r="O17" s="69">
        <f t="shared" si="3"/>
        <v>40.825688073394495</v>
      </c>
      <c r="P17" s="69">
        <f t="shared" si="4"/>
        <v>44.825688073394495</v>
      </c>
      <c r="Q17" s="30" t="s">
        <v>74</v>
      </c>
      <c r="R17" s="70">
        <v>12</v>
      </c>
      <c r="S17" s="71">
        <v>30</v>
      </c>
      <c r="T17" s="72">
        <v>35.181467181467198</v>
      </c>
      <c r="U17" s="33">
        <v>40.170699999999997</v>
      </c>
      <c r="V17" s="30">
        <v>458</v>
      </c>
      <c r="W17" s="32">
        <f t="shared" si="5"/>
        <v>328</v>
      </c>
    </row>
    <row r="18" spans="1:23">
      <c r="A18" s="62" t="s">
        <v>75</v>
      </c>
      <c r="B18" s="63" t="s">
        <v>71</v>
      </c>
      <c r="C18" s="64">
        <v>5</v>
      </c>
      <c r="D18" s="64" t="s">
        <v>62</v>
      </c>
      <c r="E18" s="31">
        <v>51</v>
      </c>
      <c r="F18" s="65">
        <v>2</v>
      </c>
      <c r="G18" s="66">
        <v>139</v>
      </c>
      <c r="H18" s="67">
        <v>1</v>
      </c>
      <c r="I18" s="68">
        <v>171.46250000000001</v>
      </c>
      <c r="J18" s="32">
        <v>3.2</v>
      </c>
      <c r="K18" s="69">
        <f t="shared" si="0"/>
        <v>48</v>
      </c>
      <c r="L18" s="69">
        <f t="shared" si="1"/>
        <v>6672</v>
      </c>
      <c r="M18" s="69">
        <v>1000</v>
      </c>
      <c r="N18" s="69">
        <f t="shared" si="2"/>
        <v>7.1942446043165464</v>
      </c>
      <c r="O18" s="69">
        <f t="shared" si="3"/>
        <v>42.805755395683455</v>
      </c>
      <c r="P18" s="69">
        <f t="shared" si="4"/>
        <v>40.805755395683455</v>
      </c>
      <c r="Q18" s="30" t="s">
        <v>76</v>
      </c>
      <c r="R18" s="70">
        <v>12</v>
      </c>
      <c r="S18" s="71">
        <v>30</v>
      </c>
      <c r="T18" s="72">
        <v>15.7104247104247</v>
      </c>
      <c r="U18" s="33">
        <v>17.0031</v>
      </c>
      <c r="V18" s="30">
        <v>489</v>
      </c>
      <c r="W18" s="32">
        <f t="shared" si="5"/>
        <v>359</v>
      </c>
    </row>
    <row r="19" spans="1:23">
      <c r="A19" s="62" t="s">
        <v>77</v>
      </c>
      <c r="B19" s="63" t="s">
        <v>71</v>
      </c>
      <c r="C19" s="64">
        <v>5</v>
      </c>
      <c r="D19" s="64" t="s">
        <v>62</v>
      </c>
      <c r="E19" s="31">
        <v>51</v>
      </c>
      <c r="F19" s="65">
        <v>2</v>
      </c>
      <c r="G19" s="66">
        <v>232</v>
      </c>
      <c r="H19" s="67">
        <v>1</v>
      </c>
      <c r="I19" s="68">
        <v>0</v>
      </c>
      <c r="J19" s="32">
        <v>10</v>
      </c>
      <c r="K19" s="69">
        <f t="shared" si="0"/>
        <v>48</v>
      </c>
      <c r="L19" s="69">
        <f t="shared" si="1"/>
        <v>11136</v>
      </c>
      <c r="M19" s="69">
        <v>1000</v>
      </c>
      <c r="N19" s="69">
        <f t="shared" si="2"/>
        <v>4.3103448275862073</v>
      </c>
      <c r="O19" s="69">
        <f t="shared" si="3"/>
        <v>45.689655172413794</v>
      </c>
      <c r="P19" s="69">
        <f t="shared" si="4"/>
        <v>43.689655172413794</v>
      </c>
      <c r="Q19" s="30" t="s">
        <v>78</v>
      </c>
      <c r="R19" s="70">
        <v>12</v>
      </c>
      <c r="S19" s="71">
        <v>30</v>
      </c>
      <c r="T19" s="72">
        <v>13.988416988417001</v>
      </c>
      <c r="U19" s="33">
        <v>14.9122</v>
      </c>
      <c r="V19" s="30">
        <v>494</v>
      </c>
      <c r="W19" s="32">
        <f t="shared" si="5"/>
        <v>364</v>
      </c>
    </row>
    <row r="20" spans="1:23">
      <c r="A20" s="62" t="s">
        <v>79</v>
      </c>
      <c r="B20" s="63" t="s">
        <v>71</v>
      </c>
      <c r="C20" s="64">
        <v>5</v>
      </c>
      <c r="D20" s="64" t="s">
        <v>80</v>
      </c>
      <c r="E20" s="31">
        <v>51</v>
      </c>
      <c r="F20" s="65">
        <v>2</v>
      </c>
      <c r="G20" s="66">
        <v>119</v>
      </c>
      <c r="H20" s="67">
        <v>1</v>
      </c>
      <c r="I20" s="68">
        <v>177.28270000000001</v>
      </c>
      <c r="J20" s="32">
        <v>5.5</v>
      </c>
      <c r="K20" s="69">
        <f t="shared" si="0"/>
        <v>48</v>
      </c>
      <c r="L20" s="69">
        <f t="shared" si="1"/>
        <v>5712</v>
      </c>
      <c r="M20" s="69">
        <v>1000</v>
      </c>
      <c r="N20" s="69">
        <f t="shared" si="2"/>
        <v>8.4033613445378155</v>
      </c>
      <c r="O20" s="69">
        <f t="shared" si="3"/>
        <v>41.596638655462186</v>
      </c>
      <c r="P20" s="69">
        <f t="shared" si="4"/>
        <v>39.596638655462186</v>
      </c>
      <c r="Q20" s="30" t="s">
        <v>81</v>
      </c>
      <c r="R20" s="70">
        <v>12</v>
      </c>
      <c r="S20" s="71">
        <v>30</v>
      </c>
      <c r="T20" s="72">
        <v>23.6833976833977</v>
      </c>
      <c r="U20" s="33">
        <v>40.874499999999998</v>
      </c>
      <c r="V20" s="30">
        <v>475</v>
      </c>
      <c r="W20" s="32">
        <f t="shared" si="5"/>
        <v>345</v>
      </c>
    </row>
    <row r="21" spans="1:23">
      <c r="A21" s="62" t="s">
        <v>82</v>
      </c>
      <c r="B21" s="63" t="s">
        <v>71</v>
      </c>
      <c r="C21" s="64">
        <v>5</v>
      </c>
      <c r="D21" s="64" t="s">
        <v>80</v>
      </c>
      <c r="E21" s="31">
        <v>52</v>
      </c>
      <c r="F21" s="65">
        <v>2</v>
      </c>
      <c r="G21" s="66">
        <v>198</v>
      </c>
      <c r="H21" s="67">
        <v>1</v>
      </c>
      <c r="I21" s="68">
        <v>0</v>
      </c>
      <c r="J21" s="32">
        <v>10</v>
      </c>
      <c r="K21" s="69">
        <f t="shared" si="0"/>
        <v>49</v>
      </c>
      <c r="L21" s="69">
        <f t="shared" si="1"/>
        <v>9702</v>
      </c>
      <c r="M21" s="69">
        <v>1000</v>
      </c>
      <c r="N21" s="69">
        <f t="shared" si="2"/>
        <v>5.0505050505050502</v>
      </c>
      <c r="O21" s="69">
        <f t="shared" si="3"/>
        <v>44.949494949494948</v>
      </c>
      <c r="P21" s="69">
        <f t="shared" si="4"/>
        <v>43.949494949494948</v>
      </c>
      <c r="Q21" s="30" t="s">
        <v>83</v>
      </c>
      <c r="R21" s="70">
        <v>12</v>
      </c>
      <c r="S21" s="71">
        <v>30</v>
      </c>
      <c r="T21" s="72">
        <v>15.1544401544402</v>
      </c>
      <c r="U21" s="33">
        <v>20.735399999999998</v>
      </c>
      <c r="V21" s="30">
        <v>481</v>
      </c>
      <c r="W21" s="32">
        <f t="shared" si="5"/>
        <v>351</v>
      </c>
    </row>
    <row r="22" spans="1:23">
      <c r="A22" s="62" t="s">
        <v>84</v>
      </c>
      <c r="B22" s="63" t="s">
        <v>71</v>
      </c>
      <c r="C22" s="64">
        <v>5</v>
      </c>
      <c r="D22" s="64" t="s">
        <v>80</v>
      </c>
      <c r="E22" s="31">
        <v>53</v>
      </c>
      <c r="F22" s="65">
        <v>2</v>
      </c>
      <c r="G22" s="66">
        <v>114</v>
      </c>
      <c r="H22" s="67">
        <v>1</v>
      </c>
      <c r="I22" s="68">
        <v>136.15979999999999</v>
      </c>
      <c r="J22" s="32">
        <v>4</v>
      </c>
      <c r="K22" s="69">
        <f t="shared" si="0"/>
        <v>50</v>
      </c>
      <c r="L22" s="69">
        <f t="shared" si="1"/>
        <v>5700</v>
      </c>
      <c r="M22" s="69">
        <v>1000</v>
      </c>
      <c r="N22" s="69">
        <f t="shared" si="2"/>
        <v>8.7719298245614041</v>
      </c>
      <c r="O22" s="69">
        <f t="shared" si="3"/>
        <v>41.228070175438596</v>
      </c>
      <c r="P22" s="69">
        <f t="shared" si="4"/>
        <v>41.228070175438596</v>
      </c>
      <c r="Q22" s="30" t="s">
        <v>85</v>
      </c>
      <c r="R22" s="70">
        <v>12</v>
      </c>
      <c r="S22" s="71">
        <v>30</v>
      </c>
      <c r="T22" s="72">
        <v>15.104247104247101</v>
      </c>
      <c r="U22" s="33">
        <v>17.201000000000001</v>
      </c>
      <c r="V22" s="30">
        <v>490</v>
      </c>
      <c r="W22" s="32">
        <f t="shared" si="5"/>
        <v>360</v>
      </c>
    </row>
    <row r="23" spans="1:23">
      <c r="A23" s="62" t="s">
        <v>86</v>
      </c>
      <c r="B23" s="63" t="s">
        <v>71</v>
      </c>
      <c r="C23" s="64">
        <v>6</v>
      </c>
      <c r="D23" s="64" t="s">
        <v>80</v>
      </c>
      <c r="E23" s="31">
        <v>52</v>
      </c>
      <c r="F23" s="65">
        <v>2</v>
      </c>
      <c r="G23" s="66">
        <v>93.1</v>
      </c>
      <c r="H23" s="67">
        <v>1</v>
      </c>
      <c r="I23" s="68">
        <v>129.15770000000001</v>
      </c>
      <c r="J23" s="32">
        <v>5</v>
      </c>
      <c r="K23" s="69">
        <f t="shared" si="0"/>
        <v>49</v>
      </c>
      <c r="L23" s="69">
        <f t="shared" si="1"/>
        <v>4561.8999999999996</v>
      </c>
      <c r="M23" s="69">
        <v>1000</v>
      </c>
      <c r="N23" s="69">
        <f t="shared" si="2"/>
        <v>10.741138560687434</v>
      </c>
      <c r="O23" s="69">
        <f t="shared" si="3"/>
        <v>39.258861439312568</v>
      </c>
      <c r="P23" s="69">
        <f t="shared" si="4"/>
        <v>38.258861439312568</v>
      </c>
      <c r="Q23" s="30" t="s">
        <v>87</v>
      </c>
      <c r="R23" s="70">
        <v>12</v>
      </c>
      <c r="S23" s="71">
        <v>30</v>
      </c>
      <c r="T23" s="72">
        <v>17.8841698841699</v>
      </c>
      <c r="U23" s="33">
        <v>25.118200000000002</v>
      </c>
      <c r="V23" s="30">
        <v>481</v>
      </c>
      <c r="W23" s="32">
        <f t="shared" si="5"/>
        <v>351</v>
      </c>
    </row>
    <row r="24" spans="1:23">
      <c r="A24" s="62" t="s">
        <v>88</v>
      </c>
      <c r="B24" s="63" t="s">
        <v>71</v>
      </c>
      <c r="C24" s="64">
        <v>6</v>
      </c>
      <c r="D24" s="64" t="s">
        <v>80</v>
      </c>
      <c r="E24" s="31">
        <v>52</v>
      </c>
      <c r="F24" s="65">
        <v>2</v>
      </c>
      <c r="G24" s="66">
        <v>113</v>
      </c>
      <c r="H24" s="67">
        <v>1</v>
      </c>
      <c r="I24" s="68">
        <v>138.9084</v>
      </c>
      <c r="J24" s="32">
        <v>6.5</v>
      </c>
      <c r="K24" s="69">
        <f t="shared" si="0"/>
        <v>49</v>
      </c>
      <c r="L24" s="69">
        <f t="shared" si="1"/>
        <v>5537</v>
      </c>
      <c r="M24" s="69">
        <v>1000</v>
      </c>
      <c r="N24" s="69">
        <f t="shared" si="2"/>
        <v>8.8495575221238933</v>
      </c>
      <c r="O24" s="69">
        <f t="shared" si="3"/>
        <v>41.150442477876105</v>
      </c>
      <c r="P24" s="69">
        <f t="shared" si="4"/>
        <v>40.150442477876105</v>
      </c>
      <c r="Q24" s="30" t="s">
        <v>89</v>
      </c>
      <c r="R24" s="70">
        <v>12</v>
      </c>
      <c r="S24" s="71">
        <v>30</v>
      </c>
      <c r="T24" s="72">
        <v>17.061776061776101</v>
      </c>
      <c r="U24" s="33">
        <v>26.2042</v>
      </c>
      <c r="V24" s="30">
        <v>484</v>
      </c>
      <c r="W24" s="32">
        <f t="shared" si="5"/>
        <v>354</v>
      </c>
    </row>
    <row r="25" spans="1:23">
      <c r="A25" s="62" t="s">
        <v>90</v>
      </c>
      <c r="B25" s="63" t="s">
        <v>71</v>
      </c>
      <c r="C25" s="64">
        <v>6</v>
      </c>
      <c r="D25" s="64" t="s">
        <v>80</v>
      </c>
      <c r="E25" s="31">
        <v>53</v>
      </c>
      <c r="F25" s="65">
        <v>2</v>
      </c>
      <c r="G25" s="66">
        <v>82</v>
      </c>
      <c r="H25" s="67">
        <v>1</v>
      </c>
      <c r="I25" s="68">
        <v>107.1037</v>
      </c>
      <c r="J25" s="32">
        <v>6.7</v>
      </c>
      <c r="K25" s="69">
        <f t="shared" si="0"/>
        <v>50</v>
      </c>
      <c r="L25" s="69">
        <f t="shared" si="1"/>
        <v>4100</v>
      </c>
      <c r="M25" s="69">
        <v>1000</v>
      </c>
      <c r="N25" s="69">
        <f t="shared" si="2"/>
        <v>12.195121951219512</v>
      </c>
      <c r="O25" s="69">
        <f t="shared" si="3"/>
        <v>37.804878048780488</v>
      </c>
      <c r="P25" s="69">
        <f t="shared" si="4"/>
        <v>37.804878048780488</v>
      </c>
      <c r="Q25" s="30" t="s">
        <v>91</v>
      </c>
      <c r="R25" s="70">
        <v>12</v>
      </c>
      <c r="S25" s="71">
        <v>30</v>
      </c>
      <c r="T25" s="72">
        <v>16.123552123552098</v>
      </c>
      <c r="U25" s="33">
        <v>25.4316</v>
      </c>
      <c r="V25" s="30">
        <v>475</v>
      </c>
      <c r="W25" s="32">
        <f t="shared" si="5"/>
        <v>345</v>
      </c>
    </row>
    <row r="26" spans="1:23">
      <c r="A26" s="62" t="s">
        <v>92</v>
      </c>
      <c r="B26" s="63" t="s">
        <v>71</v>
      </c>
      <c r="C26" s="64">
        <v>6</v>
      </c>
      <c r="D26" s="64" t="s">
        <v>80</v>
      </c>
      <c r="E26" s="31">
        <v>51</v>
      </c>
      <c r="F26" s="65">
        <v>2</v>
      </c>
      <c r="G26" s="66">
        <v>114</v>
      </c>
      <c r="H26" s="67">
        <v>1</v>
      </c>
      <c r="I26" s="68">
        <v>183.3655</v>
      </c>
      <c r="J26" s="32">
        <v>6.3</v>
      </c>
      <c r="K26" s="69">
        <f t="shared" si="0"/>
        <v>48</v>
      </c>
      <c r="L26" s="69">
        <f t="shared" si="1"/>
        <v>5472</v>
      </c>
      <c r="M26" s="69">
        <v>1000</v>
      </c>
      <c r="N26" s="69">
        <f t="shared" si="2"/>
        <v>8.7719298245614041</v>
      </c>
      <c r="O26" s="69">
        <f t="shared" si="3"/>
        <v>41.228070175438596</v>
      </c>
      <c r="P26" s="69">
        <f t="shared" si="4"/>
        <v>39.228070175438596</v>
      </c>
      <c r="Q26" s="30" t="s">
        <v>93</v>
      </c>
      <c r="R26" s="70">
        <v>12</v>
      </c>
      <c r="S26" s="71">
        <v>30</v>
      </c>
      <c r="T26" s="72">
        <v>15.227799227799199</v>
      </c>
      <c r="U26" s="33">
        <v>17.790400000000002</v>
      </c>
      <c r="V26" s="30">
        <v>489</v>
      </c>
      <c r="W26" s="32">
        <f t="shared" si="5"/>
        <v>359</v>
      </c>
    </row>
    <row r="27" spans="1:23">
      <c r="A27" s="62" t="s">
        <v>94</v>
      </c>
      <c r="B27" s="63" t="s">
        <v>71</v>
      </c>
      <c r="C27" s="64">
        <v>6</v>
      </c>
      <c r="D27" s="64" t="s">
        <v>80</v>
      </c>
      <c r="E27" s="31">
        <v>51</v>
      </c>
      <c r="F27" s="65">
        <v>2</v>
      </c>
      <c r="G27" s="66">
        <v>99.1</v>
      </c>
      <c r="H27" s="67">
        <v>1</v>
      </c>
      <c r="I27" s="68">
        <v>168.47720000000001</v>
      </c>
      <c r="J27" s="32">
        <v>7.2</v>
      </c>
      <c r="K27" s="69">
        <f t="shared" si="0"/>
        <v>48</v>
      </c>
      <c r="L27" s="69">
        <f t="shared" si="1"/>
        <v>4756.7999999999993</v>
      </c>
      <c r="M27" s="69">
        <v>1000</v>
      </c>
      <c r="N27" s="69">
        <f t="shared" si="2"/>
        <v>10.090817356205854</v>
      </c>
      <c r="O27" s="69">
        <f t="shared" si="3"/>
        <v>39.909182643794146</v>
      </c>
      <c r="P27" s="69">
        <f t="shared" si="4"/>
        <v>37.909182643794146</v>
      </c>
      <c r="Q27" s="30" t="s">
        <v>95</v>
      </c>
      <c r="R27" s="70">
        <v>12</v>
      </c>
      <c r="S27" s="71">
        <v>30</v>
      </c>
      <c r="T27" s="72">
        <v>19.972972972973</v>
      </c>
      <c r="U27" s="33">
        <v>20.4071</v>
      </c>
      <c r="V27" s="30">
        <v>484</v>
      </c>
      <c r="W27" s="32">
        <f t="shared" si="5"/>
        <v>354</v>
      </c>
    </row>
    <row r="28" spans="1:23">
      <c r="A28" s="62" t="s">
        <v>96</v>
      </c>
      <c r="B28" s="63" t="s">
        <v>71</v>
      </c>
      <c r="C28" s="64">
        <v>6</v>
      </c>
      <c r="D28" s="64" t="s">
        <v>97</v>
      </c>
      <c r="E28" s="31">
        <v>47</v>
      </c>
      <c r="F28" s="65">
        <v>1</v>
      </c>
      <c r="G28" s="66">
        <v>171.70133111480899</v>
      </c>
      <c r="H28" s="67">
        <v>2</v>
      </c>
      <c r="I28" s="68">
        <v>260.96420000000001</v>
      </c>
      <c r="J28" s="32">
        <v>6</v>
      </c>
      <c r="K28" s="69">
        <f t="shared" si="0"/>
        <v>44</v>
      </c>
      <c r="L28" s="69">
        <f t="shared" si="1"/>
        <v>7554.8585690515956</v>
      </c>
      <c r="M28" s="69">
        <v>1000</v>
      </c>
      <c r="N28" s="69">
        <f t="shared" si="2"/>
        <v>5.8240666715119689</v>
      </c>
      <c r="O28" s="69">
        <f t="shared" si="3"/>
        <v>44.175933328488028</v>
      </c>
      <c r="P28" s="69">
        <f t="shared" si="4"/>
        <v>38.175933328488028</v>
      </c>
      <c r="Q28" s="30" t="s">
        <v>98</v>
      </c>
      <c r="R28" s="70">
        <v>12</v>
      </c>
      <c r="S28" s="71">
        <v>30</v>
      </c>
      <c r="T28" s="72">
        <v>21.046332046332001</v>
      </c>
      <c r="U28" s="33">
        <v>13.6782</v>
      </c>
      <c r="V28" s="30">
        <v>500</v>
      </c>
      <c r="W28" s="32">
        <f t="shared" si="5"/>
        <v>370</v>
      </c>
    </row>
    <row r="29" spans="1:23">
      <c r="A29" s="62" t="s">
        <v>99</v>
      </c>
      <c r="B29" s="63" t="s">
        <v>71</v>
      </c>
      <c r="C29" s="64">
        <v>6</v>
      </c>
      <c r="D29" s="64" t="s">
        <v>97</v>
      </c>
      <c r="E29" s="31">
        <v>67</v>
      </c>
      <c r="F29" s="65">
        <v>1</v>
      </c>
      <c r="G29" s="66">
        <v>35.632279534109799</v>
      </c>
      <c r="H29" s="67">
        <v>2</v>
      </c>
      <c r="I29" s="68">
        <v>92.0655</v>
      </c>
      <c r="J29" s="32">
        <v>6</v>
      </c>
      <c r="K29" s="69">
        <f t="shared" si="0"/>
        <v>64</v>
      </c>
      <c r="L29" s="69">
        <f t="shared" si="1"/>
        <v>2280.4658901830271</v>
      </c>
      <c r="M29" s="69">
        <v>1000</v>
      </c>
      <c r="N29" s="69">
        <f t="shared" si="2"/>
        <v>28.064440812514608</v>
      </c>
      <c r="O29" s="69">
        <f t="shared" si="3"/>
        <v>21.935559187485392</v>
      </c>
      <c r="P29" s="69">
        <f t="shared" si="4"/>
        <v>35.935559187485396</v>
      </c>
      <c r="Q29" s="30" t="s">
        <v>100</v>
      </c>
      <c r="R29" s="70">
        <v>12</v>
      </c>
      <c r="S29" s="71">
        <v>30</v>
      </c>
      <c r="T29" s="72">
        <v>29.003861003861001</v>
      </c>
      <c r="U29" s="33">
        <v>19.6706</v>
      </c>
      <c r="V29" s="30">
        <v>508</v>
      </c>
      <c r="W29" s="32">
        <f t="shared" si="5"/>
        <v>378</v>
      </c>
    </row>
    <row r="30" spans="1:23">
      <c r="A30" s="62" t="s">
        <v>101</v>
      </c>
      <c r="B30" s="63" t="s">
        <v>102</v>
      </c>
      <c r="C30" s="64">
        <v>3</v>
      </c>
      <c r="D30" s="64" t="s">
        <v>97</v>
      </c>
      <c r="E30" s="31">
        <v>48</v>
      </c>
      <c r="F30" s="65">
        <v>1</v>
      </c>
      <c r="G30" s="66">
        <v>98.760399334442596</v>
      </c>
      <c r="H30" s="67">
        <v>2</v>
      </c>
      <c r="I30" s="68">
        <v>153.17679999999999</v>
      </c>
      <c r="J30" s="32">
        <v>8</v>
      </c>
      <c r="K30" s="69">
        <f t="shared" si="0"/>
        <v>45</v>
      </c>
      <c r="L30" s="69">
        <f t="shared" si="1"/>
        <v>4444.2179700499164</v>
      </c>
      <c r="M30" s="69">
        <v>1000</v>
      </c>
      <c r="N30" s="69">
        <f t="shared" si="2"/>
        <v>10.125515963271839</v>
      </c>
      <c r="O30" s="69">
        <f t="shared" si="3"/>
        <v>39.874484036728163</v>
      </c>
      <c r="P30" s="69">
        <f t="shared" si="4"/>
        <v>34.874484036728163</v>
      </c>
      <c r="Q30" s="30" t="s">
        <v>103</v>
      </c>
      <c r="R30" s="70">
        <v>12</v>
      </c>
      <c r="S30" s="71">
        <v>30</v>
      </c>
      <c r="T30" s="72">
        <v>20.193050193050201</v>
      </c>
      <c r="U30" s="33">
        <v>18.206900000000001</v>
      </c>
      <c r="V30" s="30">
        <v>514</v>
      </c>
      <c r="W30" s="32">
        <f t="shared" si="5"/>
        <v>384</v>
      </c>
    </row>
    <row r="31" spans="1:23">
      <c r="A31" s="62" t="s">
        <v>104</v>
      </c>
      <c r="B31" s="63" t="s">
        <v>102</v>
      </c>
      <c r="C31" s="64">
        <v>3</v>
      </c>
      <c r="D31" s="64" t="s">
        <v>97</v>
      </c>
      <c r="E31" s="31">
        <v>47</v>
      </c>
      <c r="F31" s="65">
        <v>1</v>
      </c>
      <c r="G31" s="66">
        <v>178.926788685524</v>
      </c>
      <c r="H31" s="67">
        <v>2</v>
      </c>
      <c r="I31" s="68">
        <v>287.24009999999998</v>
      </c>
      <c r="J31" s="32">
        <v>7.5</v>
      </c>
      <c r="K31" s="69">
        <f t="shared" si="0"/>
        <v>44</v>
      </c>
      <c r="L31" s="69">
        <f t="shared" si="1"/>
        <v>7872.7787021630556</v>
      </c>
      <c r="M31" s="69">
        <v>1000</v>
      </c>
      <c r="N31" s="69">
        <f t="shared" si="2"/>
        <v>5.588878039708006</v>
      </c>
      <c r="O31" s="69">
        <f t="shared" si="3"/>
        <v>44.411121960291993</v>
      </c>
      <c r="P31" s="69">
        <f t="shared" si="4"/>
        <v>38.411121960291993</v>
      </c>
      <c r="Q31" s="30" t="s">
        <v>105</v>
      </c>
      <c r="R31" s="70">
        <v>12</v>
      </c>
      <c r="S31" s="71">
        <v>30</v>
      </c>
      <c r="T31" s="72">
        <v>20.034749034749002</v>
      </c>
      <c r="U31" s="33">
        <v>15.314</v>
      </c>
      <c r="V31" s="30">
        <v>505</v>
      </c>
      <c r="W31" s="32">
        <f t="shared" si="5"/>
        <v>375</v>
      </c>
    </row>
    <row r="32" spans="1:23">
      <c r="A32" s="62" t="s">
        <v>106</v>
      </c>
      <c r="B32" s="63" t="s">
        <v>102</v>
      </c>
      <c r="C32" s="64">
        <v>3</v>
      </c>
      <c r="D32" s="64" t="s">
        <v>97</v>
      </c>
      <c r="E32" s="31">
        <v>47</v>
      </c>
      <c r="F32" s="65">
        <v>1</v>
      </c>
      <c r="G32" s="66">
        <v>137.08402662229599</v>
      </c>
      <c r="H32" s="67">
        <v>2</v>
      </c>
      <c r="I32" s="68">
        <v>218.3065</v>
      </c>
      <c r="J32" s="32">
        <v>6.1</v>
      </c>
      <c r="K32" s="69">
        <f t="shared" si="0"/>
        <v>44</v>
      </c>
      <c r="L32" s="69">
        <f t="shared" si="1"/>
        <v>6031.6971713810235</v>
      </c>
      <c r="M32" s="69">
        <v>1000</v>
      </c>
      <c r="N32" s="69">
        <f t="shared" si="2"/>
        <v>7.2947959338491977</v>
      </c>
      <c r="O32" s="69">
        <f t="shared" si="3"/>
        <v>42.705204066150799</v>
      </c>
      <c r="P32" s="69">
        <f t="shared" si="4"/>
        <v>36.705204066150799</v>
      </c>
      <c r="Q32" s="30" t="s">
        <v>107</v>
      </c>
      <c r="R32" s="70">
        <v>12</v>
      </c>
      <c r="S32" s="71">
        <v>30</v>
      </c>
      <c r="T32" s="72">
        <v>18.660231660231702</v>
      </c>
      <c r="U32" s="33">
        <v>11.6211</v>
      </c>
      <c r="V32" s="30">
        <v>506</v>
      </c>
      <c r="W32" s="32">
        <f t="shared" si="5"/>
        <v>376</v>
      </c>
    </row>
    <row r="33" spans="1:23">
      <c r="A33" s="62" t="s">
        <v>108</v>
      </c>
      <c r="B33" s="63" t="s">
        <v>102</v>
      </c>
      <c r="C33" s="64">
        <v>3</v>
      </c>
      <c r="D33" s="64" t="s">
        <v>97</v>
      </c>
      <c r="E33" s="31">
        <v>46</v>
      </c>
      <c r="F33" s="65">
        <v>1</v>
      </c>
      <c r="G33" s="66">
        <v>145.037437603993</v>
      </c>
      <c r="H33" s="67">
        <v>2</v>
      </c>
      <c r="I33" s="68">
        <v>292.82139999999998</v>
      </c>
      <c r="J33" s="32">
        <v>6</v>
      </c>
      <c r="K33" s="69">
        <f t="shared" si="0"/>
        <v>43</v>
      </c>
      <c r="L33" s="69">
        <f t="shared" si="1"/>
        <v>6236.6098169716988</v>
      </c>
      <c r="M33" s="69">
        <v>1000</v>
      </c>
      <c r="N33" s="69">
        <f t="shared" si="2"/>
        <v>6.8947715605013498</v>
      </c>
      <c r="O33" s="69">
        <f t="shared" si="3"/>
        <v>43.105228439498653</v>
      </c>
      <c r="P33" s="69">
        <f t="shared" si="4"/>
        <v>36.105228439498653</v>
      </c>
      <c r="Q33" s="30" t="s">
        <v>109</v>
      </c>
      <c r="R33" s="70">
        <v>12</v>
      </c>
      <c r="S33" s="71">
        <v>30</v>
      </c>
      <c r="T33" s="72">
        <v>18.054054054054099</v>
      </c>
      <c r="U33" s="33">
        <v>11.976000000000001</v>
      </c>
      <c r="V33" s="30">
        <v>500</v>
      </c>
      <c r="W33" s="32">
        <f t="shared" si="5"/>
        <v>370</v>
      </c>
    </row>
    <row r="34" spans="1:23">
      <c r="A34" s="62" t="s">
        <v>110</v>
      </c>
      <c r="B34" s="63" t="s">
        <v>102</v>
      </c>
      <c r="C34" s="64">
        <v>3</v>
      </c>
      <c r="D34" s="64" t="s">
        <v>97</v>
      </c>
      <c r="E34" s="31">
        <v>52</v>
      </c>
      <c r="F34" s="65">
        <v>1</v>
      </c>
      <c r="G34" s="66">
        <v>59.276206322795304</v>
      </c>
      <c r="H34" s="67">
        <v>2</v>
      </c>
      <c r="I34" s="68">
        <v>97.349500000000006</v>
      </c>
      <c r="J34" s="32">
        <v>8.5</v>
      </c>
      <c r="K34" s="69">
        <f t="shared" si="0"/>
        <v>49</v>
      </c>
      <c r="L34" s="69">
        <f t="shared" si="1"/>
        <v>2904.5341098169697</v>
      </c>
      <c r="M34" s="69">
        <v>1000</v>
      </c>
      <c r="N34" s="69">
        <f t="shared" si="2"/>
        <v>16.870175438596501</v>
      </c>
      <c r="O34" s="69">
        <f t="shared" si="3"/>
        <v>33.129824561403495</v>
      </c>
      <c r="P34" s="69">
        <f t="shared" si="4"/>
        <v>32.129824561403495</v>
      </c>
      <c r="Q34" s="30" t="s">
        <v>111</v>
      </c>
      <c r="R34" s="70">
        <v>12</v>
      </c>
      <c r="S34" s="71">
        <v>30</v>
      </c>
      <c r="T34" s="72">
        <v>21.880308880308899</v>
      </c>
      <c r="U34" s="33">
        <v>23.2928</v>
      </c>
      <c r="V34" s="30">
        <v>501</v>
      </c>
      <c r="W34" s="32">
        <f t="shared" si="5"/>
        <v>371</v>
      </c>
    </row>
    <row r="35" spans="1:23">
      <c r="A35" s="62" t="s">
        <v>112</v>
      </c>
      <c r="B35" s="63" t="s">
        <v>102</v>
      </c>
      <c r="C35" s="64">
        <v>3</v>
      </c>
      <c r="D35" s="64" t="s">
        <v>97</v>
      </c>
      <c r="E35" s="31">
        <v>45</v>
      </c>
      <c r="F35" s="65">
        <v>1</v>
      </c>
      <c r="G35" s="66">
        <v>132.66638935108199</v>
      </c>
      <c r="H35" s="67">
        <v>2</v>
      </c>
      <c r="I35" s="68">
        <v>214.56190000000001</v>
      </c>
      <c r="J35" s="32">
        <v>4.5999999999999996</v>
      </c>
      <c r="K35" s="69">
        <f t="shared" si="0"/>
        <v>42</v>
      </c>
      <c r="L35" s="69">
        <f t="shared" si="1"/>
        <v>5571.988352745444</v>
      </c>
      <c r="M35" s="69">
        <v>1000</v>
      </c>
      <c r="N35" s="69">
        <f t="shared" si="2"/>
        <v>7.5377041984134188</v>
      </c>
      <c r="O35" s="69">
        <f t="shared" si="3"/>
        <v>42.462295801586578</v>
      </c>
      <c r="P35" s="69">
        <f t="shared" si="4"/>
        <v>34.462295801586578</v>
      </c>
      <c r="Q35" s="30" t="s">
        <v>113</v>
      </c>
      <c r="R35" s="70">
        <v>12</v>
      </c>
      <c r="S35" s="71">
        <v>30</v>
      </c>
      <c r="T35" s="72">
        <v>24.891891891891898</v>
      </c>
      <c r="U35" s="33">
        <v>21.712299999999999</v>
      </c>
      <c r="V35" s="30">
        <v>502</v>
      </c>
      <c r="W35" s="32">
        <f t="shared" si="5"/>
        <v>372</v>
      </c>
    </row>
    <row r="36" spans="1:23">
      <c r="A36" s="62" t="s">
        <v>114</v>
      </c>
      <c r="B36" s="63" t="s">
        <v>102</v>
      </c>
      <c r="C36" s="64">
        <v>4</v>
      </c>
      <c r="D36" s="64" t="s">
        <v>115</v>
      </c>
      <c r="E36" s="31">
        <v>51</v>
      </c>
      <c r="F36" s="65">
        <v>1</v>
      </c>
      <c r="G36" s="66">
        <v>74.072379367720501</v>
      </c>
      <c r="H36" s="67">
        <v>2</v>
      </c>
      <c r="I36" s="68">
        <v>108.2723</v>
      </c>
      <c r="J36" s="32">
        <v>6.1</v>
      </c>
      <c r="K36" s="69">
        <f t="shared" ref="K36:K67" si="6">E36-F36-H36</f>
        <v>48</v>
      </c>
      <c r="L36" s="69">
        <f t="shared" ref="L36:L67" si="7">K36*G36</f>
        <v>3555.4742096505843</v>
      </c>
      <c r="M36" s="69">
        <v>1000</v>
      </c>
      <c r="N36" s="69">
        <f t="shared" ref="N36:N67" si="8">M36/G36</f>
        <v>13.500308867299371</v>
      </c>
      <c r="O36" s="69">
        <f t="shared" ref="O36:O67" si="9">50-N36</f>
        <v>36.499691132700633</v>
      </c>
      <c r="P36" s="69">
        <f t="shared" ref="P36:P67" si="10">K36-N36</f>
        <v>34.499691132700633</v>
      </c>
      <c r="Q36" s="30" t="s">
        <v>116</v>
      </c>
      <c r="R36" s="70">
        <v>12</v>
      </c>
      <c r="S36" s="71">
        <v>30</v>
      </c>
      <c r="T36" s="72">
        <v>22.660231660231702</v>
      </c>
      <c r="U36" s="33">
        <v>16.1343</v>
      </c>
      <c r="V36" s="30">
        <v>518</v>
      </c>
      <c r="W36" s="32">
        <f t="shared" ref="W36:W67" si="11">V36-130</f>
        <v>388</v>
      </c>
    </row>
    <row r="37" spans="1:23">
      <c r="A37" s="62" t="s">
        <v>117</v>
      </c>
      <c r="B37" s="63" t="s">
        <v>102</v>
      </c>
      <c r="C37" s="64">
        <v>4</v>
      </c>
      <c r="D37" s="64" t="s">
        <v>115</v>
      </c>
      <c r="E37" s="31">
        <v>49</v>
      </c>
      <c r="F37" s="65">
        <v>1</v>
      </c>
      <c r="G37" s="66">
        <v>252.23377703827001</v>
      </c>
      <c r="H37" s="67">
        <v>2</v>
      </c>
      <c r="I37" s="68">
        <v>281.11180000000002</v>
      </c>
      <c r="J37" s="32">
        <v>4.8</v>
      </c>
      <c r="K37" s="69">
        <f t="shared" si="6"/>
        <v>46</v>
      </c>
      <c r="L37" s="69">
        <f t="shared" si="7"/>
        <v>11602.753743760421</v>
      </c>
      <c r="M37" s="69">
        <v>1000</v>
      </c>
      <c r="N37" s="69">
        <f t="shared" si="8"/>
        <v>3.9645760839091571</v>
      </c>
      <c r="O37" s="69">
        <f t="shared" si="9"/>
        <v>46.035423916090842</v>
      </c>
      <c r="P37" s="69">
        <f t="shared" si="10"/>
        <v>42.035423916090842</v>
      </c>
      <c r="Q37" s="30" t="s">
        <v>118</v>
      </c>
      <c r="R37" s="70">
        <v>12</v>
      </c>
      <c r="S37" s="71">
        <v>30</v>
      </c>
      <c r="T37" s="72">
        <v>18.239382239382198</v>
      </c>
      <c r="W37" s="32">
        <f t="shared" si="11"/>
        <v>-130</v>
      </c>
    </row>
    <row r="38" spans="1:23">
      <c r="A38" s="62" t="s">
        <v>119</v>
      </c>
      <c r="B38" s="63" t="s">
        <v>102</v>
      </c>
      <c r="C38" s="64">
        <v>4</v>
      </c>
      <c r="D38" s="64" t="s">
        <v>115</v>
      </c>
      <c r="E38" s="31">
        <v>49</v>
      </c>
      <c r="F38" s="65">
        <v>1</v>
      </c>
      <c r="G38" s="66">
        <v>159.080698835275</v>
      </c>
      <c r="H38" s="67">
        <v>2</v>
      </c>
      <c r="I38" s="68">
        <v>204.81630000000001</v>
      </c>
      <c r="J38" s="32">
        <v>5.7</v>
      </c>
      <c r="K38" s="69">
        <f t="shared" si="6"/>
        <v>46</v>
      </c>
      <c r="L38" s="69">
        <f t="shared" si="7"/>
        <v>7317.7121464226502</v>
      </c>
      <c r="M38" s="69">
        <v>1000</v>
      </c>
      <c r="N38" s="69">
        <f t="shared" si="8"/>
        <v>6.2861177208900791</v>
      </c>
      <c r="O38" s="69">
        <f t="shared" si="9"/>
        <v>43.713882279109924</v>
      </c>
      <c r="P38" s="69">
        <f t="shared" si="10"/>
        <v>39.713882279109924</v>
      </c>
      <c r="Q38" s="30" t="s">
        <v>120</v>
      </c>
      <c r="R38" s="70">
        <v>12</v>
      </c>
      <c r="S38" s="71">
        <v>30</v>
      </c>
      <c r="T38" s="72">
        <v>17.019305019305001</v>
      </c>
      <c r="U38" s="33">
        <v>11.7753</v>
      </c>
      <c r="V38" s="30">
        <v>515</v>
      </c>
      <c r="W38" s="32">
        <f t="shared" si="11"/>
        <v>385</v>
      </c>
    </row>
    <row r="39" spans="1:23">
      <c r="A39" s="62" t="s">
        <v>121</v>
      </c>
      <c r="B39" s="63" t="s">
        <v>102</v>
      </c>
      <c r="C39" s="64">
        <v>4</v>
      </c>
      <c r="D39" s="64" t="s">
        <v>115</v>
      </c>
      <c r="E39" s="31">
        <v>48</v>
      </c>
      <c r="F39" s="65">
        <v>1</v>
      </c>
      <c r="G39" s="66">
        <v>117.487520798669</v>
      </c>
      <c r="H39" s="67">
        <v>2</v>
      </c>
      <c r="I39" s="68">
        <v>157.75790000000001</v>
      </c>
      <c r="J39" s="32">
        <v>4.5</v>
      </c>
      <c r="K39" s="69">
        <f t="shared" si="6"/>
        <v>45</v>
      </c>
      <c r="L39" s="69">
        <f t="shared" si="7"/>
        <v>5286.9384359401047</v>
      </c>
      <c r="M39" s="69">
        <v>1000</v>
      </c>
      <c r="N39" s="69">
        <f t="shared" si="8"/>
        <v>8.5115422744653646</v>
      </c>
      <c r="O39" s="69">
        <f t="shared" si="9"/>
        <v>41.488457725534637</v>
      </c>
      <c r="P39" s="69">
        <f t="shared" si="10"/>
        <v>36.488457725534637</v>
      </c>
      <c r="Q39" s="30" t="s">
        <v>122</v>
      </c>
      <c r="R39" s="70">
        <v>12</v>
      </c>
      <c r="S39" s="71">
        <v>30</v>
      </c>
      <c r="T39" s="72">
        <v>19.6833976833977</v>
      </c>
      <c r="U39" s="33">
        <v>5.2401999999999997</v>
      </c>
      <c r="V39" s="30">
        <v>481</v>
      </c>
      <c r="W39" s="32">
        <f t="shared" si="11"/>
        <v>351</v>
      </c>
    </row>
    <row r="40" spans="1:23">
      <c r="A40" s="62" t="s">
        <v>123</v>
      </c>
      <c r="B40" s="63" t="s">
        <v>102</v>
      </c>
      <c r="C40" s="64">
        <v>4</v>
      </c>
      <c r="D40" s="64" t="s">
        <v>115</v>
      </c>
      <c r="E40" s="31">
        <v>48</v>
      </c>
      <c r="F40" s="65">
        <v>1</v>
      </c>
      <c r="G40" s="66">
        <v>155.108153078203</v>
      </c>
      <c r="H40" s="67">
        <v>2</v>
      </c>
      <c r="I40" s="68">
        <v>171.8366</v>
      </c>
      <c r="J40" s="32">
        <v>4.0999999999999996</v>
      </c>
      <c r="K40" s="69">
        <f t="shared" si="6"/>
        <v>45</v>
      </c>
      <c r="L40" s="69">
        <f t="shared" si="7"/>
        <v>6979.8668885191355</v>
      </c>
      <c r="M40" s="69">
        <v>1000</v>
      </c>
      <c r="N40" s="69">
        <f t="shared" si="8"/>
        <v>6.4471143531431023</v>
      </c>
      <c r="O40" s="69">
        <f t="shared" si="9"/>
        <v>43.5528856468569</v>
      </c>
      <c r="P40" s="69">
        <f t="shared" si="10"/>
        <v>38.5528856468569</v>
      </c>
      <c r="Q40" s="30" t="s">
        <v>124</v>
      </c>
      <c r="R40" s="70">
        <v>12</v>
      </c>
      <c r="S40" s="71">
        <v>30</v>
      </c>
      <c r="T40" s="72">
        <v>14.996138996139001</v>
      </c>
      <c r="U40" s="33">
        <v>16.308700000000002</v>
      </c>
      <c r="V40" s="30">
        <v>520</v>
      </c>
      <c r="W40" s="32">
        <f t="shared" si="11"/>
        <v>390</v>
      </c>
    </row>
    <row r="41" spans="1:23">
      <c r="A41" s="62" t="s">
        <v>125</v>
      </c>
      <c r="B41" s="63" t="s">
        <v>102</v>
      </c>
      <c r="C41" s="64">
        <v>4</v>
      </c>
      <c r="D41" s="64" t="s">
        <v>115</v>
      </c>
      <c r="E41" s="31">
        <v>48</v>
      </c>
      <c r="F41" s="65">
        <v>1</v>
      </c>
      <c r="G41" s="66">
        <v>176.289517470882</v>
      </c>
      <c r="H41" s="67">
        <v>2</v>
      </c>
      <c r="I41" s="68">
        <v>222.53389999999999</v>
      </c>
      <c r="J41" s="32">
        <v>4.9000000000000004</v>
      </c>
      <c r="K41" s="69">
        <f t="shared" si="6"/>
        <v>45</v>
      </c>
      <c r="L41" s="69">
        <f t="shared" si="7"/>
        <v>7933.0282861896903</v>
      </c>
      <c r="M41" s="69">
        <v>1000</v>
      </c>
      <c r="N41" s="69">
        <f t="shared" si="8"/>
        <v>5.6724870221802695</v>
      </c>
      <c r="O41" s="69">
        <f t="shared" si="9"/>
        <v>44.32751297781973</v>
      </c>
      <c r="P41" s="69">
        <f t="shared" si="10"/>
        <v>39.32751297781973</v>
      </c>
      <c r="Q41" s="30" t="s">
        <v>126</v>
      </c>
      <c r="R41" s="70">
        <v>12</v>
      </c>
      <c r="S41" s="71">
        <v>30</v>
      </c>
      <c r="T41" s="72">
        <v>21.3050193050193</v>
      </c>
      <c r="U41" s="33">
        <v>13.0487</v>
      </c>
      <c r="V41" s="30">
        <v>507</v>
      </c>
      <c r="W41" s="32">
        <f t="shared" si="11"/>
        <v>377</v>
      </c>
    </row>
    <row r="42" spans="1:23">
      <c r="A42" s="62" t="s">
        <v>127</v>
      </c>
      <c r="B42" s="63" t="s">
        <v>128</v>
      </c>
      <c r="C42" s="64">
        <v>9</v>
      </c>
      <c r="D42" s="64" t="s">
        <v>115</v>
      </c>
      <c r="E42" s="31">
        <v>47</v>
      </c>
      <c r="F42" s="65">
        <v>1</v>
      </c>
      <c r="G42" s="66">
        <v>90.499168053244603</v>
      </c>
      <c r="H42" s="67">
        <v>2</v>
      </c>
      <c r="I42" s="68">
        <v>119.4554</v>
      </c>
      <c r="J42" s="32">
        <v>4.3</v>
      </c>
      <c r="K42" s="69">
        <f t="shared" si="6"/>
        <v>44</v>
      </c>
      <c r="L42" s="69">
        <f t="shared" si="7"/>
        <v>3981.9633943427625</v>
      </c>
      <c r="M42" s="69">
        <v>1000</v>
      </c>
      <c r="N42" s="69">
        <f t="shared" si="8"/>
        <v>11.049825335539619</v>
      </c>
      <c r="O42" s="69">
        <f t="shared" si="9"/>
        <v>38.950174664460377</v>
      </c>
      <c r="P42" s="69">
        <f t="shared" si="10"/>
        <v>32.950174664460377</v>
      </c>
      <c r="Q42" s="30" t="s">
        <v>129</v>
      </c>
      <c r="R42" s="70">
        <v>12</v>
      </c>
      <c r="S42" s="71">
        <v>30</v>
      </c>
      <c r="T42" s="72">
        <v>19.969111969111999</v>
      </c>
      <c r="U42" s="33">
        <v>25.7728</v>
      </c>
      <c r="V42" s="30">
        <v>506</v>
      </c>
      <c r="W42" s="32">
        <f t="shared" si="11"/>
        <v>376</v>
      </c>
    </row>
    <row r="43" spans="1:23">
      <c r="A43" s="62" t="s">
        <v>130</v>
      </c>
      <c r="B43" s="63" t="s">
        <v>128</v>
      </c>
      <c r="C43" s="64">
        <v>9</v>
      </c>
      <c r="D43" s="64" t="s">
        <v>115</v>
      </c>
      <c r="E43" s="31">
        <v>47</v>
      </c>
      <c r="F43" s="65">
        <v>1</v>
      </c>
      <c r="G43" s="66">
        <v>99.413477537437601</v>
      </c>
      <c r="H43" s="67">
        <v>2</v>
      </c>
      <c r="I43" s="68">
        <v>159.50110000000001</v>
      </c>
      <c r="J43" s="32">
        <v>5.3</v>
      </c>
      <c r="K43" s="69">
        <f t="shared" si="6"/>
        <v>44</v>
      </c>
      <c r="L43" s="69">
        <f t="shared" si="7"/>
        <v>4374.193011647254</v>
      </c>
      <c r="M43" s="69">
        <v>1000</v>
      </c>
      <c r="N43" s="69">
        <f t="shared" si="8"/>
        <v>10.058998284447048</v>
      </c>
      <c r="O43" s="69">
        <f t="shared" si="9"/>
        <v>39.94100171555295</v>
      </c>
      <c r="P43" s="69">
        <f t="shared" si="10"/>
        <v>33.94100171555295</v>
      </c>
      <c r="Q43" s="30" t="s">
        <v>131</v>
      </c>
      <c r="R43" s="70">
        <v>12</v>
      </c>
      <c r="S43" s="71">
        <v>30</v>
      </c>
      <c r="T43" s="72">
        <v>17.4324324324324</v>
      </c>
      <c r="U43" s="33">
        <v>24.943000000000001</v>
      </c>
      <c r="V43" s="30">
        <v>508</v>
      </c>
      <c r="W43" s="32">
        <f t="shared" si="11"/>
        <v>378</v>
      </c>
    </row>
    <row r="44" spans="1:23">
      <c r="A44" s="62" t="s">
        <v>132</v>
      </c>
      <c r="B44" s="63" t="s">
        <v>128</v>
      </c>
      <c r="C44" s="64">
        <v>9</v>
      </c>
      <c r="D44" s="64" t="s">
        <v>133</v>
      </c>
      <c r="E44" s="31">
        <v>60</v>
      </c>
      <c r="F44" s="65">
        <v>1</v>
      </c>
      <c r="G44" s="66">
        <v>159.05990016638901</v>
      </c>
      <c r="H44" s="67">
        <v>2</v>
      </c>
      <c r="I44" s="68">
        <v>167.14320000000001</v>
      </c>
      <c r="J44" s="32">
        <v>3.6</v>
      </c>
      <c r="K44" s="69">
        <f t="shared" si="6"/>
        <v>57</v>
      </c>
      <c r="L44" s="69">
        <f t="shared" si="7"/>
        <v>9066.4143094841729</v>
      </c>
      <c r="M44" s="69">
        <v>1000</v>
      </c>
      <c r="N44" s="69">
        <f t="shared" si="8"/>
        <v>6.2869396934986277</v>
      </c>
      <c r="O44" s="69">
        <f t="shared" si="9"/>
        <v>43.713060306501376</v>
      </c>
      <c r="P44" s="69">
        <f t="shared" si="10"/>
        <v>50.713060306501376</v>
      </c>
      <c r="Q44" s="30" t="s">
        <v>134</v>
      </c>
      <c r="R44" s="70">
        <v>12</v>
      </c>
      <c r="S44" s="71">
        <v>30</v>
      </c>
      <c r="T44" s="72">
        <v>18.583011583011601</v>
      </c>
      <c r="U44" s="33">
        <v>24.305399999999999</v>
      </c>
      <c r="V44" s="30">
        <v>493</v>
      </c>
      <c r="W44" s="32">
        <f t="shared" si="11"/>
        <v>363</v>
      </c>
    </row>
    <row r="45" spans="1:23">
      <c r="A45" s="62" t="s">
        <v>135</v>
      </c>
      <c r="B45" s="63" t="s">
        <v>128</v>
      </c>
      <c r="C45" s="64">
        <v>9</v>
      </c>
      <c r="D45" s="64" t="s">
        <v>133</v>
      </c>
      <c r="E45" s="31">
        <v>51</v>
      </c>
      <c r="F45" s="65">
        <v>1</v>
      </c>
      <c r="G45" s="66">
        <v>164.93344425956701</v>
      </c>
      <c r="H45" s="67">
        <v>2</v>
      </c>
      <c r="I45" s="68">
        <v>220.5436</v>
      </c>
      <c r="J45" s="32">
        <v>4.8</v>
      </c>
      <c r="K45" s="69">
        <f t="shared" si="6"/>
        <v>48</v>
      </c>
      <c r="L45" s="69">
        <f t="shared" si="7"/>
        <v>7916.8053244592165</v>
      </c>
      <c r="M45" s="69">
        <v>1000</v>
      </c>
      <c r="N45" s="69">
        <f t="shared" si="8"/>
        <v>6.0630517023959785</v>
      </c>
      <c r="O45" s="69">
        <f t="shared" si="9"/>
        <v>43.936948297604019</v>
      </c>
      <c r="P45" s="69">
        <f t="shared" si="10"/>
        <v>41.936948297604019</v>
      </c>
      <c r="Q45" s="30" t="s">
        <v>136</v>
      </c>
      <c r="R45" s="70">
        <v>12</v>
      </c>
      <c r="S45" s="71">
        <v>30</v>
      </c>
      <c r="T45" s="72">
        <v>31.644787644787598</v>
      </c>
      <c r="U45" s="33">
        <v>45.6462</v>
      </c>
      <c r="V45" s="30">
        <v>505</v>
      </c>
      <c r="W45" s="32">
        <f t="shared" si="11"/>
        <v>375</v>
      </c>
    </row>
    <row r="46" spans="1:23">
      <c r="A46" s="62" t="s">
        <v>137</v>
      </c>
      <c r="B46" s="63" t="s">
        <v>128</v>
      </c>
      <c r="C46" s="64">
        <v>9</v>
      </c>
      <c r="D46" s="64" t="s">
        <v>133</v>
      </c>
      <c r="E46" s="31">
        <v>49</v>
      </c>
      <c r="F46" s="65">
        <v>1</v>
      </c>
      <c r="G46" s="66">
        <v>95.2454242928453</v>
      </c>
      <c r="H46" s="67">
        <v>2</v>
      </c>
      <c r="I46" s="68">
        <v>81.894000000000005</v>
      </c>
      <c r="J46" s="32">
        <v>3.6</v>
      </c>
      <c r="K46" s="69">
        <f t="shared" si="6"/>
        <v>46</v>
      </c>
      <c r="L46" s="69">
        <f t="shared" si="7"/>
        <v>4381.2895174708838</v>
      </c>
      <c r="M46" s="69">
        <v>1000</v>
      </c>
      <c r="N46" s="69">
        <f t="shared" si="8"/>
        <v>10.499192033890898</v>
      </c>
      <c r="O46" s="69">
        <f t="shared" si="9"/>
        <v>39.5008079661091</v>
      </c>
      <c r="P46" s="69">
        <f t="shared" si="10"/>
        <v>35.5008079661091</v>
      </c>
      <c r="Q46" s="30" t="s">
        <v>138</v>
      </c>
      <c r="R46" s="70">
        <v>12</v>
      </c>
      <c r="S46" s="71">
        <v>30</v>
      </c>
      <c r="T46" s="72">
        <v>21.648648648648599</v>
      </c>
      <c r="U46" s="33">
        <v>29.2059</v>
      </c>
      <c r="V46" s="30">
        <v>505</v>
      </c>
      <c r="W46" s="32">
        <f t="shared" si="11"/>
        <v>375</v>
      </c>
    </row>
    <row r="47" spans="1:23">
      <c r="A47" s="62" t="s">
        <v>139</v>
      </c>
      <c r="B47" s="63" t="s">
        <v>128</v>
      </c>
      <c r="C47" s="64">
        <v>9</v>
      </c>
      <c r="D47" s="64" t="s">
        <v>133</v>
      </c>
      <c r="E47" s="31">
        <v>48</v>
      </c>
      <c r="F47" s="65">
        <v>1</v>
      </c>
      <c r="G47" s="66">
        <v>112.54159733777</v>
      </c>
      <c r="H47" s="67">
        <v>2</v>
      </c>
      <c r="I47" s="68">
        <v>144.822</v>
      </c>
      <c r="J47" s="32">
        <v>4.2</v>
      </c>
      <c r="K47" s="69">
        <f t="shared" si="6"/>
        <v>45</v>
      </c>
      <c r="L47" s="69">
        <f t="shared" si="7"/>
        <v>5064.3718801996501</v>
      </c>
      <c r="M47" s="69">
        <v>1000</v>
      </c>
      <c r="N47" s="69">
        <f t="shared" si="8"/>
        <v>8.8856034004805338</v>
      </c>
      <c r="O47" s="69">
        <f t="shared" si="9"/>
        <v>41.114396599519466</v>
      </c>
      <c r="P47" s="69">
        <f t="shared" si="10"/>
        <v>36.114396599519466</v>
      </c>
      <c r="Q47" s="30" t="s">
        <v>140</v>
      </c>
      <c r="R47" s="70">
        <v>12</v>
      </c>
      <c r="S47" s="71">
        <v>30</v>
      </c>
      <c r="T47" s="72">
        <v>23.918918918918902</v>
      </c>
      <c r="U47" s="33">
        <v>35.521799999999999</v>
      </c>
      <c r="V47" s="30">
        <v>506</v>
      </c>
      <c r="W47" s="32">
        <f t="shared" si="11"/>
        <v>376</v>
      </c>
    </row>
    <row r="48" spans="1:23">
      <c r="A48" s="62" t="s">
        <v>141</v>
      </c>
      <c r="B48" s="63" t="s">
        <v>128</v>
      </c>
      <c r="C48" s="64">
        <v>9</v>
      </c>
      <c r="D48" s="64" t="s">
        <v>133</v>
      </c>
      <c r="E48" s="31">
        <v>49</v>
      </c>
      <c r="F48" s="65">
        <v>1</v>
      </c>
      <c r="G48" s="66">
        <v>133.21547420965101</v>
      </c>
      <c r="H48" s="67">
        <v>2</v>
      </c>
      <c r="I48" s="68">
        <v>162.5309</v>
      </c>
      <c r="J48" s="32">
        <v>3.7</v>
      </c>
      <c r="K48" s="69">
        <f t="shared" si="6"/>
        <v>46</v>
      </c>
      <c r="L48" s="69">
        <f t="shared" si="7"/>
        <v>6127.9118136439465</v>
      </c>
      <c r="M48" s="69">
        <v>1000</v>
      </c>
      <c r="N48" s="69">
        <f t="shared" si="8"/>
        <v>7.5066354410616469</v>
      </c>
      <c r="O48" s="69">
        <f t="shared" si="9"/>
        <v>42.493364558938353</v>
      </c>
      <c r="P48" s="69">
        <f t="shared" si="10"/>
        <v>38.493364558938353</v>
      </c>
      <c r="Q48" s="30" t="s">
        <v>142</v>
      </c>
      <c r="R48" s="70">
        <v>12</v>
      </c>
      <c r="S48" s="71">
        <v>30</v>
      </c>
      <c r="T48" s="72">
        <v>22</v>
      </c>
      <c r="U48" s="33">
        <v>33.572800000000001</v>
      </c>
      <c r="V48" s="30">
        <v>504</v>
      </c>
      <c r="W48" s="32">
        <f t="shared" si="11"/>
        <v>374</v>
      </c>
    </row>
    <row r="49" spans="1:23">
      <c r="A49" s="62" t="s">
        <v>143</v>
      </c>
      <c r="B49" s="63" t="s">
        <v>128</v>
      </c>
      <c r="C49" s="64">
        <v>10</v>
      </c>
      <c r="D49" s="64" t="s">
        <v>133</v>
      </c>
      <c r="E49" s="31">
        <v>50</v>
      </c>
      <c r="F49" s="65">
        <v>1</v>
      </c>
      <c r="G49" s="66">
        <v>95.648918469218003</v>
      </c>
      <c r="H49" s="67">
        <v>2</v>
      </c>
      <c r="I49" s="68">
        <v>128.2808</v>
      </c>
      <c r="J49" s="32">
        <v>3.4</v>
      </c>
      <c r="K49" s="69">
        <f t="shared" si="6"/>
        <v>47</v>
      </c>
      <c r="L49" s="69">
        <f t="shared" si="7"/>
        <v>4495.4991680532457</v>
      </c>
      <c r="M49" s="69">
        <v>1000</v>
      </c>
      <c r="N49" s="69">
        <f t="shared" si="8"/>
        <v>10.454901278594413</v>
      </c>
      <c r="O49" s="69">
        <f t="shared" si="9"/>
        <v>39.545098721405587</v>
      </c>
      <c r="P49" s="69">
        <f t="shared" si="10"/>
        <v>36.545098721405587</v>
      </c>
      <c r="Q49" s="30" t="s">
        <v>144</v>
      </c>
      <c r="R49" s="70">
        <v>12</v>
      </c>
      <c r="S49" s="71">
        <v>30</v>
      </c>
      <c r="T49" s="72">
        <v>26.223938223938202</v>
      </c>
      <c r="U49" s="33">
        <v>22.680900000000001</v>
      </c>
      <c r="V49" s="30">
        <v>497</v>
      </c>
      <c r="W49" s="32">
        <f t="shared" si="11"/>
        <v>367</v>
      </c>
    </row>
    <row r="50" spans="1:23">
      <c r="A50" s="62" t="s">
        <v>145</v>
      </c>
      <c r="B50" s="63" t="s">
        <v>128</v>
      </c>
      <c r="C50" s="64">
        <v>10</v>
      </c>
      <c r="D50" s="64" t="s">
        <v>133</v>
      </c>
      <c r="E50" s="31">
        <v>60</v>
      </c>
      <c r="F50" s="65">
        <v>1</v>
      </c>
      <c r="G50" s="66">
        <v>134.92512479201301</v>
      </c>
      <c r="H50" s="67">
        <v>2</v>
      </c>
      <c r="I50" s="68">
        <v>140.36699999999999</v>
      </c>
      <c r="J50" s="32">
        <v>4.0999999999999996</v>
      </c>
      <c r="K50" s="69">
        <f t="shared" si="6"/>
        <v>57</v>
      </c>
      <c r="L50" s="69">
        <f t="shared" si="7"/>
        <v>7690.7321131447416</v>
      </c>
      <c r="M50" s="69">
        <v>1000</v>
      </c>
      <c r="N50" s="69">
        <f t="shared" si="8"/>
        <v>7.4115180663460523</v>
      </c>
      <c r="O50" s="69">
        <f t="shared" si="9"/>
        <v>42.588481933653945</v>
      </c>
      <c r="P50" s="69">
        <f t="shared" si="10"/>
        <v>49.588481933653945</v>
      </c>
      <c r="Q50" s="30" t="s">
        <v>146</v>
      </c>
      <c r="R50" s="70">
        <v>12</v>
      </c>
      <c r="S50" s="71">
        <v>30</v>
      </c>
      <c r="T50" s="72">
        <v>15.220077220077201</v>
      </c>
      <c r="U50" s="33">
        <v>38.9497</v>
      </c>
      <c r="V50" s="30">
        <v>488</v>
      </c>
      <c r="W50" s="32">
        <f t="shared" si="11"/>
        <v>358</v>
      </c>
    </row>
    <row r="51" spans="1:23">
      <c r="A51" s="62" t="s">
        <v>147</v>
      </c>
      <c r="B51" s="63" t="s">
        <v>128</v>
      </c>
      <c r="C51" s="64">
        <v>10</v>
      </c>
      <c r="D51" s="64" t="s">
        <v>133</v>
      </c>
      <c r="E51" s="31">
        <v>49</v>
      </c>
      <c r="F51" s="65">
        <v>1</v>
      </c>
      <c r="G51" s="66">
        <v>135.07903494176401</v>
      </c>
      <c r="H51" s="67">
        <v>2</v>
      </c>
      <c r="I51" s="68">
        <v>169.46299999999999</v>
      </c>
      <c r="J51" s="32">
        <v>3.2</v>
      </c>
      <c r="K51" s="69">
        <f t="shared" si="6"/>
        <v>46</v>
      </c>
      <c r="L51" s="69">
        <f t="shared" si="7"/>
        <v>6213.6356073211446</v>
      </c>
      <c r="M51" s="69">
        <v>1000</v>
      </c>
      <c r="N51" s="69">
        <f t="shared" si="8"/>
        <v>7.4030733224524834</v>
      </c>
      <c r="O51" s="69">
        <f t="shared" si="9"/>
        <v>42.596926677547515</v>
      </c>
      <c r="P51" s="69">
        <f t="shared" si="10"/>
        <v>38.596926677547515</v>
      </c>
      <c r="Q51" s="30" t="s">
        <v>148</v>
      </c>
      <c r="R51" s="70">
        <v>12</v>
      </c>
      <c r="S51" s="71">
        <v>30</v>
      </c>
      <c r="T51" s="72">
        <v>22.996138996138999</v>
      </c>
      <c r="U51" s="33">
        <v>29.745999999999999</v>
      </c>
      <c r="V51" s="30">
        <v>507</v>
      </c>
      <c r="W51" s="32">
        <f t="shared" si="11"/>
        <v>377</v>
      </c>
    </row>
    <row r="52" spans="1:23">
      <c r="A52" s="62" t="s">
        <v>149</v>
      </c>
      <c r="B52" s="63" t="s">
        <v>128</v>
      </c>
      <c r="C52" s="64">
        <v>10</v>
      </c>
      <c r="D52" s="64" t="s">
        <v>150</v>
      </c>
      <c r="E52" s="31">
        <v>50</v>
      </c>
      <c r="F52" s="65">
        <v>1</v>
      </c>
      <c r="G52" s="66">
        <v>183.70216306156399</v>
      </c>
      <c r="H52" s="67">
        <v>2</v>
      </c>
      <c r="I52" s="68">
        <v>189.446</v>
      </c>
      <c r="J52" s="32">
        <v>3.9</v>
      </c>
      <c r="K52" s="69">
        <f t="shared" si="6"/>
        <v>47</v>
      </c>
      <c r="L52" s="69">
        <f t="shared" si="7"/>
        <v>8634.0016638935085</v>
      </c>
      <c r="M52" s="69">
        <v>1000</v>
      </c>
      <c r="N52" s="69">
        <f t="shared" si="8"/>
        <v>5.4435940401249967</v>
      </c>
      <c r="O52" s="69">
        <f t="shared" si="9"/>
        <v>44.556405959875001</v>
      </c>
      <c r="P52" s="69">
        <f t="shared" si="10"/>
        <v>41.556405959875001</v>
      </c>
      <c r="Q52" s="30" t="s">
        <v>151</v>
      </c>
      <c r="R52" s="70">
        <v>12</v>
      </c>
      <c r="S52" s="71">
        <v>30</v>
      </c>
      <c r="T52" s="72">
        <v>15.9420849420849</v>
      </c>
      <c r="U52" s="33">
        <v>38.593400000000003</v>
      </c>
      <c r="V52" s="30">
        <v>470</v>
      </c>
      <c r="W52" s="32">
        <f t="shared" si="11"/>
        <v>340</v>
      </c>
    </row>
    <row r="53" spans="1:23">
      <c r="A53" s="62" t="s">
        <v>152</v>
      </c>
      <c r="B53" s="63" t="s">
        <v>128</v>
      </c>
      <c r="C53" s="64">
        <v>10</v>
      </c>
      <c r="D53" s="64" t="s">
        <v>150</v>
      </c>
      <c r="E53" s="31">
        <v>50</v>
      </c>
      <c r="F53" s="65">
        <v>1</v>
      </c>
      <c r="G53" s="66">
        <v>87.217138103161403</v>
      </c>
      <c r="H53" s="67">
        <v>2</v>
      </c>
      <c r="I53" s="68">
        <v>130.46440000000001</v>
      </c>
      <c r="J53" s="32">
        <v>4.9000000000000004</v>
      </c>
      <c r="K53" s="69">
        <f t="shared" si="6"/>
        <v>47</v>
      </c>
      <c r="L53" s="69">
        <f t="shared" si="7"/>
        <v>4099.2054908485861</v>
      </c>
      <c r="M53" s="69">
        <v>1000</v>
      </c>
      <c r="N53" s="69">
        <f t="shared" si="8"/>
        <v>11.465636476367624</v>
      </c>
      <c r="O53" s="69">
        <f t="shared" si="9"/>
        <v>38.534363523632379</v>
      </c>
      <c r="P53" s="69">
        <f t="shared" si="10"/>
        <v>35.534363523632379</v>
      </c>
      <c r="Q53" s="30" t="s">
        <v>153</v>
      </c>
      <c r="R53" s="70">
        <v>12</v>
      </c>
      <c r="S53" s="71">
        <v>30</v>
      </c>
      <c r="T53" s="72">
        <v>22.8687258687259</v>
      </c>
      <c r="U53" s="33">
        <v>25.0486</v>
      </c>
      <c r="V53" s="30">
        <v>468</v>
      </c>
      <c r="W53" s="32">
        <f t="shared" si="11"/>
        <v>338</v>
      </c>
    </row>
    <row r="54" spans="1:23">
      <c r="A54" s="62" t="s">
        <v>154</v>
      </c>
      <c r="B54" s="63" t="s">
        <v>128</v>
      </c>
      <c r="C54" s="64">
        <v>10</v>
      </c>
      <c r="D54" s="64" t="s">
        <v>150</v>
      </c>
      <c r="E54" s="31">
        <v>49</v>
      </c>
      <c r="F54" s="65">
        <v>1</v>
      </c>
      <c r="G54" s="66">
        <v>20.4034941763727</v>
      </c>
      <c r="H54" s="67">
        <v>2</v>
      </c>
      <c r="I54" s="68">
        <v>27.403400000000001</v>
      </c>
      <c r="J54" s="32">
        <v>3.3</v>
      </c>
      <c r="K54" s="69">
        <f t="shared" si="6"/>
        <v>46</v>
      </c>
      <c r="L54" s="69">
        <f t="shared" si="7"/>
        <v>938.56073211314424</v>
      </c>
      <c r="M54" s="69">
        <v>1000</v>
      </c>
      <c r="N54" s="69">
        <v>46</v>
      </c>
      <c r="O54" s="69">
        <f t="shared" si="9"/>
        <v>4</v>
      </c>
      <c r="P54" s="69">
        <f t="shared" si="10"/>
        <v>0</v>
      </c>
      <c r="Q54" s="30" t="s">
        <v>155</v>
      </c>
      <c r="R54" s="70">
        <v>12</v>
      </c>
      <c r="S54" s="71">
        <v>30</v>
      </c>
      <c r="T54" s="72">
        <v>25.969111969111999</v>
      </c>
      <c r="U54" s="33">
        <v>31.264299999999999</v>
      </c>
      <c r="V54" s="30">
        <v>470</v>
      </c>
      <c r="W54" s="32">
        <f t="shared" si="11"/>
        <v>340</v>
      </c>
    </row>
    <row r="55" spans="1:23">
      <c r="A55" s="62" t="s">
        <v>156</v>
      </c>
      <c r="B55" s="63" t="s">
        <v>128</v>
      </c>
      <c r="C55" s="64">
        <v>10</v>
      </c>
      <c r="D55" s="64" t="s">
        <v>150</v>
      </c>
      <c r="E55" s="31">
        <v>57</v>
      </c>
      <c r="F55" s="65">
        <v>1</v>
      </c>
      <c r="G55" s="66">
        <v>65.428452579034897</v>
      </c>
      <c r="H55" s="67">
        <v>2</v>
      </c>
      <c r="I55" s="68">
        <v>64.699600000000004</v>
      </c>
      <c r="J55" s="32">
        <v>10</v>
      </c>
      <c r="K55" s="69">
        <f t="shared" si="6"/>
        <v>54</v>
      </c>
      <c r="L55" s="69">
        <f t="shared" si="7"/>
        <v>3533.1364392678843</v>
      </c>
      <c r="M55" s="69">
        <v>1000</v>
      </c>
      <c r="N55" s="69">
        <f t="shared" ref="N55:N66" si="12">M55/G55</f>
        <v>15.283870557568832</v>
      </c>
      <c r="O55" s="69">
        <f t="shared" si="9"/>
        <v>34.716129442431168</v>
      </c>
      <c r="P55" s="69">
        <f t="shared" si="10"/>
        <v>38.716129442431168</v>
      </c>
      <c r="Q55" s="30" t="s">
        <v>157</v>
      </c>
      <c r="R55" s="70">
        <v>12</v>
      </c>
      <c r="S55" s="71">
        <v>30</v>
      </c>
      <c r="T55" s="72">
        <v>24.359073359073399</v>
      </c>
      <c r="U55" s="33">
        <v>29.4251</v>
      </c>
      <c r="V55" s="30">
        <v>470</v>
      </c>
      <c r="W55" s="32">
        <f t="shared" si="11"/>
        <v>340</v>
      </c>
    </row>
    <row r="56" spans="1:23">
      <c r="A56" s="62" t="s">
        <v>158</v>
      </c>
      <c r="B56" s="63" t="s">
        <v>159</v>
      </c>
      <c r="C56" s="64">
        <v>7</v>
      </c>
      <c r="D56" s="64" t="s">
        <v>150</v>
      </c>
      <c r="E56" s="31">
        <v>51</v>
      </c>
      <c r="F56" s="65">
        <v>1</v>
      </c>
      <c r="G56" s="66">
        <v>141.210482529118</v>
      </c>
      <c r="H56" s="67">
        <v>2</v>
      </c>
      <c r="I56" s="68">
        <v>130.76490000000001</v>
      </c>
      <c r="J56" s="32">
        <v>3.4</v>
      </c>
      <c r="K56" s="69">
        <f t="shared" si="6"/>
        <v>48</v>
      </c>
      <c r="L56" s="69">
        <f t="shared" si="7"/>
        <v>6778.1031613976638</v>
      </c>
      <c r="M56" s="69">
        <v>1000</v>
      </c>
      <c r="N56" s="69">
        <f t="shared" si="12"/>
        <v>7.0816272424662046</v>
      </c>
      <c r="O56" s="69">
        <f t="shared" si="9"/>
        <v>42.918372757533795</v>
      </c>
      <c r="P56" s="69">
        <f t="shared" si="10"/>
        <v>40.918372757533795</v>
      </c>
      <c r="Q56" s="30" t="s">
        <v>160</v>
      </c>
      <c r="R56" s="70">
        <v>12</v>
      </c>
      <c r="S56" s="71">
        <v>30</v>
      </c>
      <c r="T56" s="72">
        <v>24.397683397683402</v>
      </c>
      <c r="U56" s="33">
        <v>47.436199999999999</v>
      </c>
      <c r="V56" s="30">
        <v>457</v>
      </c>
      <c r="W56" s="32">
        <f t="shared" si="11"/>
        <v>327</v>
      </c>
    </row>
    <row r="57" spans="1:23">
      <c r="A57" s="62" t="s">
        <v>161</v>
      </c>
      <c r="B57" s="63" t="s">
        <v>159</v>
      </c>
      <c r="C57" s="64">
        <v>7</v>
      </c>
      <c r="D57" s="64" t="s">
        <v>150</v>
      </c>
      <c r="E57" s="31">
        <v>50</v>
      </c>
      <c r="F57" s="65">
        <v>1</v>
      </c>
      <c r="G57" s="66">
        <v>85.174708818635594</v>
      </c>
      <c r="H57" s="67">
        <v>2</v>
      </c>
      <c r="I57" s="68">
        <v>65.864800000000002</v>
      </c>
      <c r="J57" s="32">
        <v>9.9</v>
      </c>
      <c r="K57" s="69">
        <f t="shared" si="6"/>
        <v>47</v>
      </c>
      <c r="L57" s="69">
        <f t="shared" si="7"/>
        <v>4003.2113144758728</v>
      </c>
      <c r="M57" s="69">
        <v>1000</v>
      </c>
      <c r="N57" s="69">
        <f t="shared" si="12"/>
        <v>11.74057433092401</v>
      </c>
      <c r="O57" s="69">
        <f t="shared" si="9"/>
        <v>38.259425669075988</v>
      </c>
      <c r="P57" s="69">
        <f t="shared" si="10"/>
        <v>35.259425669075988</v>
      </c>
      <c r="Q57" s="30" t="s">
        <v>162</v>
      </c>
      <c r="R57" s="70">
        <v>12</v>
      </c>
      <c r="S57" s="71">
        <v>30</v>
      </c>
      <c r="T57" s="72">
        <v>24.474903474903499</v>
      </c>
      <c r="U57" s="33">
        <v>62.749899999999997</v>
      </c>
      <c r="V57" s="30">
        <v>453</v>
      </c>
      <c r="W57" s="32">
        <f t="shared" si="11"/>
        <v>323</v>
      </c>
    </row>
    <row r="58" spans="1:23">
      <c r="A58" s="62" t="s">
        <v>163</v>
      </c>
      <c r="B58" s="63" t="s">
        <v>159</v>
      </c>
      <c r="C58" s="64">
        <v>7</v>
      </c>
      <c r="D58" s="64" t="s">
        <v>150</v>
      </c>
      <c r="E58" s="31">
        <v>51</v>
      </c>
      <c r="F58" s="65">
        <v>1</v>
      </c>
      <c r="G58" s="66">
        <v>207.67886855241301</v>
      </c>
      <c r="H58" s="67">
        <v>2</v>
      </c>
      <c r="I58" s="68">
        <v>111.82510000000001</v>
      </c>
      <c r="J58" s="32">
        <v>3</v>
      </c>
      <c r="K58" s="69">
        <f t="shared" si="6"/>
        <v>48</v>
      </c>
      <c r="L58" s="69">
        <f t="shared" si="7"/>
        <v>9968.5856905158253</v>
      </c>
      <c r="M58" s="69">
        <v>1000</v>
      </c>
      <c r="N58" s="69">
        <f t="shared" si="12"/>
        <v>4.81512638705283</v>
      </c>
      <c r="O58" s="69">
        <f t="shared" si="9"/>
        <v>45.184873612947172</v>
      </c>
      <c r="P58" s="69">
        <f t="shared" si="10"/>
        <v>43.184873612947172</v>
      </c>
      <c r="Q58" s="30" t="s">
        <v>164</v>
      </c>
      <c r="R58" s="70">
        <v>12</v>
      </c>
      <c r="S58" s="71">
        <v>30</v>
      </c>
      <c r="T58" s="72">
        <v>28.011583011582999</v>
      </c>
      <c r="U58" s="33">
        <v>32.036099999999998</v>
      </c>
      <c r="V58" s="30">
        <v>461</v>
      </c>
      <c r="W58" s="32">
        <f t="shared" si="11"/>
        <v>331</v>
      </c>
    </row>
    <row r="59" spans="1:23">
      <c r="A59" s="62" t="s">
        <v>165</v>
      </c>
      <c r="B59" s="63" t="s">
        <v>159</v>
      </c>
      <c r="C59" s="64">
        <v>7</v>
      </c>
      <c r="D59" s="64" t="s">
        <v>150</v>
      </c>
      <c r="E59" s="31">
        <v>52</v>
      </c>
      <c r="F59" s="65">
        <v>1</v>
      </c>
      <c r="G59" s="66">
        <v>95.012479201331104</v>
      </c>
      <c r="H59" s="67">
        <v>2</v>
      </c>
      <c r="I59" s="68">
        <v>65.662400000000005</v>
      </c>
      <c r="J59" s="32">
        <v>3.5</v>
      </c>
      <c r="K59" s="69">
        <f t="shared" si="6"/>
        <v>49</v>
      </c>
      <c r="L59" s="69">
        <f t="shared" si="7"/>
        <v>4655.6114808652237</v>
      </c>
      <c r="M59" s="69">
        <v>1000</v>
      </c>
      <c r="N59" s="69">
        <f t="shared" si="12"/>
        <v>10.524933234096581</v>
      </c>
      <c r="O59" s="69">
        <f t="shared" si="9"/>
        <v>39.475066765903421</v>
      </c>
      <c r="P59" s="69">
        <f t="shared" si="10"/>
        <v>38.475066765903421</v>
      </c>
      <c r="Q59" s="30" t="s">
        <v>166</v>
      </c>
      <c r="R59" s="70">
        <v>12</v>
      </c>
      <c r="S59" s="71">
        <v>30</v>
      </c>
      <c r="T59" s="72">
        <v>27.976833976834001</v>
      </c>
      <c r="U59" s="33">
        <v>41.817300000000003</v>
      </c>
      <c r="V59" s="30">
        <v>445</v>
      </c>
      <c r="W59" s="32">
        <f t="shared" si="11"/>
        <v>315</v>
      </c>
    </row>
    <row r="60" spans="1:23">
      <c r="A60" s="62" t="s">
        <v>167</v>
      </c>
      <c r="B60" s="63" t="s">
        <v>159</v>
      </c>
      <c r="C60" s="64">
        <v>7</v>
      </c>
      <c r="D60" s="64" t="s">
        <v>168</v>
      </c>
      <c r="E60" s="31">
        <v>65</v>
      </c>
      <c r="F60" s="65">
        <v>1</v>
      </c>
      <c r="G60" s="66">
        <v>27.603993344426001</v>
      </c>
      <c r="H60" s="67">
        <v>2</v>
      </c>
      <c r="I60" s="68">
        <v>24.0108</v>
      </c>
      <c r="J60" s="32">
        <v>4.4000000000000004</v>
      </c>
      <c r="K60" s="69">
        <f t="shared" si="6"/>
        <v>62</v>
      </c>
      <c r="L60" s="69">
        <f t="shared" si="7"/>
        <v>1711.447587354412</v>
      </c>
      <c r="M60" s="69">
        <v>1000</v>
      </c>
      <c r="N60" s="69">
        <f t="shared" si="12"/>
        <v>36.22664255575642</v>
      </c>
      <c r="O60" s="69">
        <f t="shared" si="9"/>
        <v>13.77335744424358</v>
      </c>
      <c r="P60" s="69">
        <f t="shared" si="10"/>
        <v>25.77335744424358</v>
      </c>
      <c r="Q60" s="30" t="s">
        <v>169</v>
      </c>
      <c r="R60" s="70">
        <v>12</v>
      </c>
      <c r="S60" s="71">
        <v>30</v>
      </c>
      <c r="T60" s="72">
        <v>21.166023166023201</v>
      </c>
      <c r="U60" s="33">
        <v>14.599</v>
      </c>
      <c r="V60" s="30">
        <v>487</v>
      </c>
      <c r="W60" s="32">
        <f t="shared" si="11"/>
        <v>357</v>
      </c>
    </row>
    <row r="61" spans="1:23">
      <c r="A61" s="62" t="s">
        <v>170</v>
      </c>
      <c r="B61" s="63" t="s">
        <v>159</v>
      </c>
      <c r="C61" s="64">
        <v>7</v>
      </c>
      <c r="D61" s="64" t="s">
        <v>168</v>
      </c>
      <c r="E61" s="31">
        <v>65</v>
      </c>
      <c r="F61" s="65">
        <v>1</v>
      </c>
      <c r="G61" s="66">
        <v>25.678036605657201</v>
      </c>
      <c r="H61" s="67">
        <v>2</v>
      </c>
      <c r="I61" s="68">
        <v>31.277100000000001</v>
      </c>
      <c r="J61" s="32">
        <v>4</v>
      </c>
      <c r="K61" s="69">
        <f t="shared" si="6"/>
        <v>62</v>
      </c>
      <c r="L61" s="69">
        <f t="shared" si="7"/>
        <v>1592.0382695507465</v>
      </c>
      <c r="M61" s="69">
        <v>1000</v>
      </c>
      <c r="N61" s="69">
        <f t="shared" si="12"/>
        <v>38.943787461526057</v>
      </c>
      <c r="O61" s="69">
        <f t="shared" si="9"/>
        <v>11.056212538473943</v>
      </c>
      <c r="P61" s="69">
        <f t="shared" si="10"/>
        <v>23.056212538473943</v>
      </c>
      <c r="Q61" s="30" t="s">
        <v>171</v>
      </c>
      <c r="R61" s="70">
        <v>12</v>
      </c>
      <c r="S61" s="71">
        <v>30</v>
      </c>
      <c r="T61" s="72">
        <v>22.015444015444</v>
      </c>
      <c r="U61" s="33">
        <v>36.4983</v>
      </c>
      <c r="V61" s="30">
        <v>456</v>
      </c>
      <c r="W61" s="32">
        <f t="shared" si="11"/>
        <v>326</v>
      </c>
    </row>
    <row r="62" spans="1:23">
      <c r="A62" s="62" t="s">
        <v>172</v>
      </c>
      <c r="B62" s="63" t="s">
        <v>159</v>
      </c>
      <c r="C62" s="64">
        <v>8</v>
      </c>
      <c r="D62" s="64" t="s">
        <v>168</v>
      </c>
      <c r="E62" s="31">
        <v>49</v>
      </c>
      <c r="F62" s="65">
        <v>1</v>
      </c>
      <c r="G62" s="66">
        <v>111.019134775374</v>
      </c>
      <c r="H62" s="67">
        <v>2</v>
      </c>
      <c r="I62" s="68">
        <v>72.828299999999999</v>
      </c>
      <c r="J62" s="32">
        <v>3.1</v>
      </c>
      <c r="K62" s="69">
        <f t="shared" si="6"/>
        <v>46</v>
      </c>
      <c r="L62" s="69">
        <f t="shared" si="7"/>
        <v>5106.8801996672037</v>
      </c>
      <c r="M62" s="69">
        <v>1000</v>
      </c>
      <c r="N62" s="69">
        <f t="shared" si="12"/>
        <v>9.0074562553861455</v>
      </c>
      <c r="O62" s="69">
        <f t="shared" si="9"/>
        <v>40.992543744613855</v>
      </c>
      <c r="P62" s="69">
        <f t="shared" si="10"/>
        <v>36.992543744613855</v>
      </c>
      <c r="Q62" s="30" t="s">
        <v>173</v>
      </c>
      <c r="R62" s="70">
        <v>12</v>
      </c>
      <c r="S62" s="71">
        <v>30</v>
      </c>
      <c r="T62" s="72">
        <v>20.691119691119699</v>
      </c>
      <c r="U62" s="33">
        <v>31.981200000000001</v>
      </c>
      <c r="V62" s="30">
        <v>471</v>
      </c>
      <c r="W62" s="32">
        <f t="shared" si="11"/>
        <v>341</v>
      </c>
    </row>
    <row r="63" spans="1:23">
      <c r="A63" s="62" t="s">
        <v>174</v>
      </c>
      <c r="B63" s="63" t="s">
        <v>159</v>
      </c>
      <c r="C63" s="64">
        <v>8</v>
      </c>
      <c r="D63" s="64" t="s">
        <v>168</v>
      </c>
      <c r="E63" s="31">
        <v>51</v>
      </c>
      <c r="F63" s="65">
        <v>1</v>
      </c>
      <c r="G63" s="66">
        <v>51.539101497504198</v>
      </c>
      <c r="H63" s="67">
        <v>2</v>
      </c>
      <c r="I63" s="68">
        <v>45.4161</v>
      </c>
      <c r="J63" s="32">
        <v>1.8</v>
      </c>
      <c r="K63" s="69">
        <f t="shared" si="6"/>
        <v>48</v>
      </c>
      <c r="L63" s="69">
        <f t="shared" si="7"/>
        <v>2473.8768718802016</v>
      </c>
      <c r="M63" s="69">
        <v>1000</v>
      </c>
      <c r="N63" s="69">
        <f t="shared" si="12"/>
        <v>19.402744148506844</v>
      </c>
      <c r="O63" s="69">
        <f t="shared" si="9"/>
        <v>30.597255851493156</v>
      </c>
      <c r="P63" s="69">
        <f t="shared" si="10"/>
        <v>28.597255851493156</v>
      </c>
      <c r="Q63" s="30" t="s">
        <v>175</v>
      </c>
      <c r="R63" s="70">
        <v>12</v>
      </c>
      <c r="S63" s="71">
        <v>30</v>
      </c>
      <c r="T63" s="72">
        <v>24.8687258687259</v>
      </c>
      <c r="U63" s="33">
        <v>23.790700000000001</v>
      </c>
      <c r="V63" s="30">
        <v>463</v>
      </c>
      <c r="W63" s="32">
        <f t="shared" si="11"/>
        <v>333</v>
      </c>
    </row>
    <row r="64" spans="1:23">
      <c r="A64" s="62" t="s">
        <v>176</v>
      </c>
      <c r="B64" s="63" t="s">
        <v>159</v>
      </c>
      <c r="C64" s="64">
        <v>8</v>
      </c>
      <c r="D64" s="64" t="s">
        <v>168</v>
      </c>
      <c r="E64" s="31">
        <v>50</v>
      </c>
      <c r="F64" s="65">
        <v>1</v>
      </c>
      <c r="G64" s="66">
        <v>87.583194675540796</v>
      </c>
      <c r="H64" s="67">
        <v>2</v>
      </c>
      <c r="I64" s="68">
        <v>61.175800000000002</v>
      </c>
      <c r="J64" s="32">
        <v>9.9</v>
      </c>
      <c r="K64" s="69">
        <f t="shared" si="6"/>
        <v>47</v>
      </c>
      <c r="L64" s="69">
        <f t="shared" si="7"/>
        <v>4116.4101497504171</v>
      </c>
      <c r="M64" s="69">
        <v>1000</v>
      </c>
      <c r="N64" s="69">
        <f t="shared" si="12"/>
        <v>11.417715507005457</v>
      </c>
      <c r="O64" s="69">
        <f t="shared" si="9"/>
        <v>38.582284492994546</v>
      </c>
      <c r="P64" s="69">
        <f t="shared" si="10"/>
        <v>35.582284492994546</v>
      </c>
      <c r="Q64" s="30" t="s">
        <v>177</v>
      </c>
      <c r="R64" s="70">
        <v>12</v>
      </c>
      <c r="S64" s="71">
        <v>30</v>
      </c>
      <c r="T64" s="72">
        <v>21.019305019305001</v>
      </c>
      <c r="U64" s="33">
        <v>33.533299999999997</v>
      </c>
      <c r="V64" s="30">
        <v>473</v>
      </c>
      <c r="W64" s="32">
        <f t="shared" si="11"/>
        <v>343</v>
      </c>
    </row>
    <row r="65" spans="1:1024">
      <c r="A65" s="62" t="s">
        <v>178</v>
      </c>
      <c r="B65" s="63" t="s">
        <v>159</v>
      </c>
      <c r="C65" s="64">
        <v>8</v>
      </c>
      <c r="D65" s="64" t="s">
        <v>168</v>
      </c>
      <c r="E65" s="31">
        <v>51</v>
      </c>
      <c r="F65" s="65">
        <v>1</v>
      </c>
      <c r="G65" s="66">
        <v>168.627287853577</v>
      </c>
      <c r="H65" s="67">
        <v>2</v>
      </c>
      <c r="I65" s="68">
        <v>96</v>
      </c>
      <c r="J65" s="32">
        <v>10</v>
      </c>
      <c r="K65" s="69">
        <f t="shared" si="6"/>
        <v>48</v>
      </c>
      <c r="L65" s="69">
        <f t="shared" si="7"/>
        <v>8094.1098169716961</v>
      </c>
      <c r="M65" s="69">
        <v>1000</v>
      </c>
      <c r="N65" s="69">
        <f t="shared" si="12"/>
        <v>5.9302382949331625</v>
      </c>
      <c r="O65" s="69">
        <f t="shared" si="9"/>
        <v>44.069761705066838</v>
      </c>
      <c r="P65" s="69">
        <f t="shared" si="10"/>
        <v>42.069761705066838</v>
      </c>
      <c r="Q65" s="30" t="s">
        <v>179</v>
      </c>
      <c r="R65" s="70">
        <v>12</v>
      </c>
      <c r="S65" s="71">
        <v>30</v>
      </c>
      <c r="T65" s="72">
        <v>22.042471042471</v>
      </c>
      <c r="U65" s="33">
        <v>32.2879</v>
      </c>
      <c r="V65" s="30">
        <v>478</v>
      </c>
      <c r="W65" s="32">
        <f t="shared" si="11"/>
        <v>348</v>
      </c>
    </row>
    <row r="66" spans="1:1024">
      <c r="A66" s="62" t="s">
        <v>180</v>
      </c>
      <c r="B66" s="63" t="s">
        <v>159</v>
      </c>
      <c r="C66" s="64">
        <v>8</v>
      </c>
      <c r="D66" s="64" t="s">
        <v>168</v>
      </c>
      <c r="E66" s="31">
        <v>50</v>
      </c>
      <c r="F66" s="65">
        <v>1</v>
      </c>
      <c r="G66" s="66">
        <v>127.287853577371</v>
      </c>
      <c r="H66" s="67">
        <v>2</v>
      </c>
      <c r="I66" s="68">
        <v>73.094200000000001</v>
      </c>
      <c r="J66" s="32">
        <v>3.4</v>
      </c>
      <c r="K66" s="69">
        <f t="shared" si="6"/>
        <v>47</v>
      </c>
      <c r="L66" s="69">
        <f t="shared" si="7"/>
        <v>5982.5291181364364</v>
      </c>
      <c r="M66" s="69">
        <v>1000</v>
      </c>
      <c r="N66" s="69">
        <f t="shared" si="12"/>
        <v>7.8562091503268006</v>
      </c>
      <c r="O66" s="69">
        <f t="shared" si="9"/>
        <v>42.143790849673202</v>
      </c>
      <c r="P66" s="69">
        <f t="shared" si="10"/>
        <v>39.143790849673202</v>
      </c>
      <c r="Q66" s="30" t="s">
        <v>181</v>
      </c>
      <c r="R66" s="70">
        <v>12</v>
      </c>
      <c r="S66" s="71">
        <v>30</v>
      </c>
      <c r="T66" s="72">
        <v>18.6949806949807</v>
      </c>
      <c r="U66" s="33">
        <v>34.0379</v>
      </c>
      <c r="V66" s="30">
        <v>467</v>
      </c>
      <c r="W66" s="32">
        <f t="shared" si="11"/>
        <v>337</v>
      </c>
    </row>
    <row r="67" spans="1:1024" s="80" customFormat="1">
      <c r="A67" s="73" t="s">
        <v>182</v>
      </c>
      <c r="B67" s="74" t="s">
        <v>183</v>
      </c>
      <c r="C67" s="75">
        <v>0</v>
      </c>
      <c r="D67" s="75" t="s">
        <v>168</v>
      </c>
      <c r="E67" s="76">
        <v>51</v>
      </c>
      <c r="F67" s="77">
        <v>1</v>
      </c>
      <c r="G67" s="78">
        <v>-0.32445923460898402</v>
      </c>
      <c r="H67" s="79">
        <v>2</v>
      </c>
      <c r="J67" s="81"/>
      <c r="K67" s="82">
        <f t="shared" si="6"/>
        <v>48</v>
      </c>
      <c r="L67" s="82">
        <f t="shared" si="7"/>
        <v>-15.574043261231232</v>
      </c>
      <c r="M67" s="82">
        <v>1000</v>
      </c>
      <c r="N67" s="82">
        <v>48</v>
      </c>
      <c r="O67" s="82">
        <f t="shared" si="9"/>
        <v>2</v>
      </c>
      <c r="P67" s="82">
        <f t="shared" si="10"/>
        <v>0</v>
      </c>
      <c r="Q67" s="80" t="s">
        <v>184</v>
      </c>
      <c r="R67" s="83">
        <v>12</v>
      </c>
      <c r="S67" s="84">
        <v>30</v>
      </c>
      <c r="T67" s="85">
        <v>-0.22007722007722</v>
      </c>
      <c r="U67" s="86">
        <v>1.9E-3</v>
      </c>
      <c r="V67" s="80">
        <v>636</v>
      </c>
      <c r="W67" s="81">
        <f t="shared" si="11"/>
        <v>506</v>
      </c>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row>
  </sheetData>
  <mergeCells count="5">
    <mergeCell ref="E1:L1"/>
    <mergeCell ref="F2:G2"/>
    <mergeCell ref="H2:J2"/>
    <mergeCell ref="M2:R2"/>
    <mergeCell ref="U2:W2"/>
  </mergeCells>
  <conditionalFormatting sqref="L4:L66">
    <cfRule type="top10" dxfId="0" priority="2" bottom="1" rank="1"/>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36"/>
  <sheetViews>
    <sheetView zoomScaleNormal="100" workbookViewId="0">
      <selection activeCell="F66" sqref="F4:F66"/>
    </sheetView>
  </sheetViews>
  <sheetFormatPr defaultColWidth="9.140625" defaultRowHeight="15.75"/>
  <cols>
    <col min="1" max="1" width="21.28515625" style="87" customWidth="1"/>
    <col min="2" max="2" width="24.42578125" style="87" customWidth="1"/>
    <col min="3" max="3" width="9.28515625" style="87" customWidth="1"/>
    <col min="4" max="5" width="9.7109375" style="87" customWidth="1"/>
    <col min="6" max="6" width="11.85546875" style="87" customWidth="1"/>
    <col min="7" max="7" width="9.140625" style="87"/>
    <col min="8" max="8" width="9.140625" style="88"/>
    <col min="9" max="1024" width="9.140625" style="87"/>
  </cols>
  <sheetData>
    <row r="1" spans="1:8">
      <c r="A1" s="89"/>
      <c r="B1" s="9" t="s">
        <v>185</v>
      </c>
      <c r="C1" s="9"/>
      <c r="D1" s="9"/>
      <c r="E1" s="9"/>
      <c r="F1" s="9"/>
      <c r="G1" s="9"/>
      <c r="H1" s="9"/>
    </row>
    <row r="2" spans="1:8">
      <c r="A2" s="89"/>
      <c r="B2" s="8">
        <v>44544</v>
      </c>
      <c r="C2" s="8"/>
      <c r="D2" s="8"/>
      <c r="E2" s="8"/>
      <c r="F2" s="8"/>
      <c r="G2" s="8"/>
      <c r="H2" s="8"/>
    </row>
    <row r="3" spans="1:8" ht="63">
      <c r="A3" s="90" t="s">
        <v>186</v>
      </c>
      <c r="B3" s="91" t="s">
        <v>187</v>
      </c>
      <c r="C3" s="92" t="s">
        <v>188</v>
      </c>
      <c r="D3" s="92" t="s">
        <v>189</v>
      </c>
      <c r="E3" s="92" t="s">
        <v>190</v>
      </c>
      <c r="F3" s="93" t="s">
        <v>191</v>
      </c>
      <c r="G3" s="92" t="s">
        <v>192</v>
      </c>
      <c r="H3" s="93" t="s">
        <v>193</v>
      </c>
    </row>
    <row r="4" spans="1:8">
      <c r="A4" s="94" t="s">
        <v>43</v>
      </c>
      <c r="B4" s="95">
        <v>6</v>
      </c>
      <c r="C4" s="96">
        <v>165</v>
      </c>
      <c r="D4" s="96">
        <f t="shared" ref="D4:D35" si="0">50-B4</f>
        <v>44</v>
      </c>
      <c r="E4" s="96">
        <f t="shared" ref="E4:E35" si="1">(B4*C4)/50</f>
        <v>19.8</v>
      </c>
      <c r="F4" s="97">
        <f t="shared" ref="F4:F35" si="2">B4*C4</f>
        <v>990</v>
      </c>
      <c r="G4" s="96">
        <v>12</v>
      </c>
      <c r="H4" s="98" t="s">
        <v>46</v>
      </c>
    </row>
    <row r="5" spans="1:8">
      <c r="A5" s="94" t="s">
        <v>47</v>
      </c>
      <c r="B5" s="95">
        <v>9</v>
      </c>
      <c r="C5" s="96">
        <v>114</v>
      </c>
      <c r="D5" s="96">
        <f t="shared" si="0"/>
        <v>41</v>
      </c>
      <c r="E5" s="96">
        <f t="shared" si="1"/>
        <v>20.52</v>
      </c>
      <c r="F5" s="97">
        <f t="shared" si="2"/>
        <v>1026</v>
      </c>
      <c r="G5" s="96">
        <v>12</v>
      </c>
      <c r="H5" s="98" t="s">
        <v>48</v>
      </c>
    </row>
    <row r="6" spans="1:8">
      <c r="A6" s="94" t="s">
        <v>49</v>
      </c>
      <c r="B6" s="95">
        <v>6</v>
      </c>
      <c r="C6" s="96">
        <v>164</v>
      </c>
      <c r="D6" s="96">
        <f t="shared" si="0"/>
        <v>44</v>
      </c>
      <c r="E6" s="96">
        <f t="shared" si="1"/>
        <v>19.68</v>
      </c>
      <c r="F6" s="97">
        <f t="shared" si="2"/>
        <v>984</v>
      </c>
      <c r="G6" s="96">
        <v>12</v>
      </c>
      <c r="H6" s="98" t="s">
        <v>50</v>
      </c>
    </row>
    <row r="7" spans="1:8">
      <c r="A7" s="94" t="s">
        <v>51</v>
      </c>
      <c r="B7" s="95">
        <v>11</v>
      </c>
      <c r="C7" s="96">
        <v>90.4</v>
      </c>
      <c r="D7" s="96">
        <f t="shared" si="0"/>
        <v>39</v>
      </c>
      <c r="E7" s="96">
        <f t="shared" si="1"/>
        <v>19.888000000000002</v>
      </c>
      <c r="F7" s="97">
        <f t="shared" si="2"/>
        <v>994.40000000000009</v>
      </c>
      <c r="G7" s="96">
        <v>12</v>
      </c>
      <c r="H7" s="98" t="s">
        <v>52</v>
      </c>
    </row>
    <row r="8" spans="1:8">
      <c r="A8" s="94" t="s">
        <v>53</v>
      </c>
      <c r="B8" s="95">
        <v>8</v>
      </c>
      <c r="C8" s="96">
        <v>125</v>
      </c>
      <c r="D8" s="96">
        <f t="shared" si="0"/>
        <v>42</v>
      </c>
      <c r="E8" s="96">
        <f t="shared" si="1"/>
        <v>20</v>
      </c>
      <c r="F8" s="97">
        <f t="shared" si="2"/>
        <v>1000</v>
      </c>
      <c r="G8" s="96">
        <v>12</v>
      </c>
      <c r="H8" s="98" t="s">
        <v>54</v>
      </c>
    </row>
    <row r="9" spans="1:8">
      <c r="A9" s="94" t="s">
        <v>55</v>
      </c>
      <c r="B9" s="95">
        <v>7</v>
      </c>
      <c r="C9" s="96">
        <v>140</v>
      </c>
      <c r="D9" s="96">
        <f t="shared" si="0"/>
        <v>43</v>
      </c>
      <c r="E9" s="96">
        <f t="shared" si="1"/>
        <v>19.600000000000001</v>
      </c>
      <c r="F9" s="97">
        <f t="shared" si="2"/>
        <v>980</v>
      </c>
      <c r="G9" s="96">
        <v>12</v>
      </c>
      <c r="H9" s="98" t="s">
        <v>56</v>
      </c>
    </row>
    <row r="10" spans="1:8">
      <c r="A10" s="94" t="s">
        <v>57</v>
      </c>
      <c r="B10" s="95">
        <v>24</v>
      </c>
      <c r="C10" s="96">
        <v>41.8</v>
      </c>
      <c r="D10" s="96">
        <f t="shared" si="0"/>
        <v>26</v>
      </c>
      <c r="E10" s="96">
        <f t="shared" si="1"/>
        <v>20.064</v>
      </c>
      <c r="F10" s="97">
        <f t="shared" si="2"/>
        <v>1003.1999999999999</v>
      </c>
      <c r="G10" s="96">
        <v>12</v>
      </c>
      <c r="H10" s="98" t="s">
        <v>58</v>
      </c>
    </row>
    <row r="11" spans="1:8">
      <c r="A11" s="94" t="s">
        <v>59</v>
      </c>
      <c r="B11" s="95">
        <v>9</v>
      </c>
      <c r="C11" s="96">
        <v>117</v>
      </c>
      <c r="D11" s="96">
        <f t="shared" si="0"/>
        <v>41</v>
      </c>
      <c r="E11" s="96">
        <f t="shared" si="1"/>
        <v>21.06</v>
      </c>
      <c r="F11" s="97">
        <f t="shared" si="2"/>
        <v>1053</v>
      </c>
      <c r="G11" s="96">
        <v>12</v>
      </c>
      <c r="H11" s="98" t="s">
        <v>60</v>
      </c>
    </row>
    <row r="12" spans="1:8">
      <c r="A12" s="94" t="s">
        <v>61</v>
      </c>
      <c r="B12" s="95">
        <v>11</v>
      </c>
      <c r="C12" s="96">
        <v>91</v>
      </c>
      <c r="D12" s="96">
        <f t="shared" si="0"/>
        <v>39</v>
      </c>
      <c r="E12" s="96">
        <f t="shared" si="1"/>
        <v>20.02</v>
      </c>
      <c r="F12" s="97">
        <f t="shared" si="2"/>
        <v>1001</v>
      </c>
      <c r="G12" s="96">
        <v>12</v>
      </c>
      <c r="H12" s="98" t="s">
        <v>63</v>
      </c>
    </row>
    <row r="13" spans="1:8">
      <c r="A13" s="94" t="s">
        <v>64</v>
      </c>
      <c r="B13" s="95">
        <v>8</v>
      </c>
      <c r="C13" s="96">
        <v>124</v>
      </c>
      <c r="D13" s="96">
        <f t="shared" si="0"/>
        <v>42</v>
      </c>
      <c r="E13" s="96">
        <f t="shared" si="1"/>
        <v>19.84</v>
      </c>
      <c r="F13" s="97">
        <f t="shared" si="2"/>
        <v>992</v>
      </c>
      <c r="G13" s="96">
        <v>12</v>
      </c>
      <c r="H13" s="98" t="s">
        <v>65</v>
      </c>
    </row>
    <row r="14" spans="1:8">
      <c r="A14" s="94" t="s">
        <v>66</v>
      </c>
      <c r="B14" s="95">
        <v>7</v>
      </c>
      <c r="C14" s="96">
        <v>139</v>
      </c>
      <c r="D14" s="96">
        <f t="shared" si="0"/>
        <v>43</v>
      </c>
      <c r="E14" s="96">
        <f t="shared" si="1"/>
        <v>19.46</v>
      </c>
      <c r="F14" s="97">
        <f t="shared" si="2"/>
        <v>973</v>
      </c>
      <c r="G14" s="96">
        <v>12</v>
      </c>
      <c r="H14" s="98" t="s">
        <v>67</v>
      </c>
    </row>
    <row r="15" spans="1:8">
      <c r="A15" s="94" t="s">
        <v>68</v>
      </c>
      <c r="B15" s="95">
        <v>13</v>
      </c>
      <c r="C15" s="96">
        <v>77.8</v>
      </c>
      <c r="D15" s="96">
        <f t="shared" si="0"/>
        <v>37</v>
      </c>
      <c r="E15" s="96">
        <f t="shared" si="1"/>
        <v>20.227999999999998</v>
      </c>
      <c r="F15" s="97">
        <f t="shared" si="2"/>
        <v>1011.4</v>
      </c>
      <c r="G15" s="96">
        <v>12</v>
      </c>
      <c r="H15" s="98" t="s">
        <v>69</v>
      </c>
    </row>
    <row r="16" spans="1:8">
      <c r="A16" s="94" t="s">
        <v>70</v>
      </c>
      <c r="B16" s="95">
        <v>12</v>
      </c>
      <c r="C16" s="96">
        <v>86</v>
      </c>
      <c r="D16" s="96">
        <f t="shared" si="0"/>
        <v>38</v>
      </c>
      <c r="E16" s="96">
        <f t="shared" si="1"/>
        <v>20.64</v>
      </c>
      <c r="F16" s="97">
        <f t="shared" si="2"/>
        <v>1032</v>
      </c>
      <c r="G16" s="96">
        <v>12</v>
      </c>
      <c r="H16" s="98" t="s">
        <v>72</v>
      </c>
    </row>
    <row r="17" spans="1:8">
      <c r="A17" s="94" t="s">
        <v>73</v>
      </c>
      <c r="B17" s="95">
        <v>9</v>
      </c>
      <c r="C17" s="96">
        <v>109</v>
      </c>
      <c r="D17" s="96">
        <f t="shared" si="0"/>
        <v>41</v>
      </c>
      <c r="E17" s="96">
        <f t="shared" si="1"/>
        <v>19.62</v>
      </c>
      <c r="F17" s="97">
        <f t="shared" si="2"/>
        <v>981</v>
      </c>
      <c r="G17" s="96">
        <v>12</v>
      </c>
      <c r="H17" s="98" t="s">
        <v>74</v>
      </c>
    </row>
    <row r="18" spans="1:8">
      <c r="A18" s="94" t="s">
        <v>75</v>
      </c>
      <c r="B18" s="95">
        <v>7</v>
      </c>
      <c r="C18" s="96">
        <v>139</v>
      </c>
      <c r="D18" s="96">
        <f t="shared" si="0"/>
        <v>43</v>
      </c>
      <c r="E18" s="96">
        <f t="shared" si="1"/>
        <v>19.46</v>
      </c>
      <c r="F18" s="97">
        <f t="shared" si="2"/>
        <v>973</v>
      </c>
      <c r="G18" s="96">
        <v>12</v>
      </c>
      <c r="H18" s="98" t="s">
        <v>76</v>
      </c>
    </row>
    <row r="19" spans="1:8">
      <c r="A19" s="94" t="s">
        <v>77</v>
      </c>
      <c r="B19" s="95">
        <v>4</v>
      </c>
      <c r="C19" s="96">
        <v>232</v>
      </c>
      <c r="D19" s="96">
        <f t="shared" si="0"/>
        <v>46</v>
      </c>
      <c r="E19" s="96">
        <f t="shared" si="1"/>
        <v>18.559999999999999</v>
      </c>
      <c r="F19" s="97">
        <f t="shared" si="2"/>
        <v>928</v>
      </c>
      <c r="G19" s="96">
        <v>12</v>
      </c>
      <c r="H19" s="98" t="s">
        <v>78</v>
      </c>
    </row>
    <row r="20" spans="1:8">
      <c r="A20" s="94" t="s">
        <v>79</v>
      </c>
      <c r="B20" s="95">
        <v>8</v>
      </c>
      <c r="C20" s="96">
        <v>119</v>
      </c>
      <c r="D20" s="96">
        <f t="shared" si="0"/>
        <v>42</v>
      </c>
      <c r="E20" s="96">
        <f t="shared" si="1"/>
        <v>19.04</v>
      </c>
      <c r="F20" s="97">
        <f t="shared" si="2"/>
        <v>952</v>
      </c>
      <c r="G20" s="96">
        <v>12</v>
      </c>
      <c r="H20" s="98" t="s">
        <v>81</v>
      </c>
    </row>
    <row r="21" spans="1:8">
      <c r="A21" s="94" t="s">
        <v>82</v>
      </c>
      <c r="B21" s="95">
        <v>5</v>
      </c>
      <c r="C21" s="96">
        <v>198</v>
      </c>
      <c r="D21" s="96">
        <f t="shared" si="0"/>
        <v>45</v>
      </c>
      <c r="E21" s="96">
        <f t="shared" si="1"/>
        <v>19.8</v>
      </c>
      <c r="F21" s="97">
        <f t="shared" si="2"/>
        <v>990</v>
      </c>
      <c r="G21" s="96">
        <v>12</v>
      </c>
      <c r="H21" s="98" t="s">
        <v>83</v>
      </c>
    </row>
    <row r="22" spans="1:8">
      <c r="A22" s="94" t="s">
        <v>84</v>
      </c>
      <c r="B22" s="95">
        <v>9</v>
      </c>
      <c r="C22" s="96">
        <v>114</v>
      </c>
      <c r="D22" s="96">
        <f t="shared" si="0"/>
        <v>41</v>
      </c>
      <c r="E22" s="96">
        <f t="shared" si="1"/>
        <v>20.52</v>
      </c>
      <c r="F22" s="97">
        <f t="shared" si="2"/>
        <v>1026</v>
      </c>
      <c r="G22" s="96">
        <v>12</v>
      </c>
      <c r="H22" s="98" t="s">
        <v>85</v>
      </c>
    </row>
    <row r="23" spans="1:8">
      <c r="A23" s="94" t="s">
        <v>86</v>
      </c>
      <c r="B23" s="95">
        <v>11</v>
      </c>
      <c r="C23" s="96">
        <v>93.1</v>
      </c>
      <c r="D23" s="96">
        <f t="shared" si="0"/>
        <v>39</v>
      </c>
      <c r="E23" s="96">
        <f t="shared" si="1"/>
        <v>20.481999999999999</v>
      </c>
      <c r="F23" s="97">
        <f t="shared" si="2"/>
        <v>1024.0999999999999</v>
      </c>
      <c r="G23" s="96">
        <v>12</v>
      </c>
      <c r="H23" s="98" t="s">
        <v>87</v>
      </c>
    </row>
    <row r="24" spans="1:8">
      <c r="A24" s="94" t="s">
        <v>88</v>
      </c>
      <c r="B24" s="95">
        <v>9</v>
      </c>
      <c r="C24" s="96">
        <v>113</v>
      </c>
      <c r="D24" s="96">
        <f t="shared" si="0"/>
        <v>41</v>
      </c>
      <c r="E24" s="96">
        <f t="shared" si="1"/>
        <v>20.34</v>
      </c>
      <c r="F24" s="97">
        <f t="shared" si="2"/>
        <v>1017</v>
      </c>
      <c r="G24" s="96">
        <v>12</v>
      </c>
      <c r="H24" s="98" t="s">
        <v>89</v>
      </c>
    </row>
    <row r="25" spans="1:8">
      <c r="A25" s="94" t="s">
        <v>90</v>
      </c>
      <c r="B25" s="95">
        <v>12</v>
      </c>
      <c r="C25" s="96">
        <v>82</v>
      </c>
      <c r="D25" s="96">
        <f t="shared" si="0"/>
        <v>38</v>
      </c>
      <c r="E25" s="96">
        <f t="shared" si="1"/>
        <v>19.68</v>
      </c>
      <c r="F25" s="97">
        <f t="shared" si="2"/>
        <v>984</v>
      </c>
      <c r="G25" s="96">
        <v>12</v>
      </c>
      <c r="H25" s="98" t="s">
        <v>91</v>
      </c>
    </row>
    <row r="26" spans="1:8">
      <c r="A26" s="94" t="s">
        <v>92</v>
      </c>
      <c r="B26" s="95">
        <v>9</v>
      </c>
      <c r="C26" s="96">
        <v>114</v>
      </c>
      <c r="D26" s="96">
        <f t="shared" si="0"/>
        <v>41</v>
      </c>
      <c r="E26" s="96">
        <f t="shared" si="1"/>
        <v>20.52</v>
      </c>
      <c r="F26" s="97">
        <f t="shared" si="2"/>
        <v>1026</v>
      </c>
      <c r="G26" s="96">
        <v>12</v>
      </c>
      <c r="H26" s="98" t="s">
        <v>93</v>
      </c>
    </row>
    <row r="27" spans="1:8">
      <c r="A27" s="94" t="s">
        <v>94</v>
      </c>
      <c r="B27" s="95">
        <v>10</v>
      </c>
      <c r="C27" s="96">
        <v>99.1</v>
      </c>
      <c r="D27" s="96">
        <f t="shared" si="0"/>
        <v>40</v>
      </c>
      <c r="E27" s="96">
        <f t="shared" si="1"/>
        <v>19.82</v>
      </c>
      <c r="F27" s="97">
        <f t="shared" si="2"/>
        <v>991</v>
      </c>
      <c r="G27" s="96">
        <v>12</v>
      </c>
      <c r="H27" s="98" t="s">
        <v>95</v>
      </c>
    </row>
    <row r="28" spans="1:8">
      <c r="A28" s="94" t="s">
        <v>96</v>
      </c>
      <c r="B28" s="95">
        <v>6</v>
      </c>
      <c r="C28" s="96">
        <v>171.70133111480899</v>
      </c>
      <c r="D28" s="96">
        <f t="shared" si="0"/>
        <v>44</v>
      </c>
      <c r="E28" s="96">
        <f t="shared" si="1"/>
        <v>20.604159733777077</v>
      </c>
      <c r="F28" s="97">
        <f t="shared" si="2"/>
        <v>1030.2079866888539</v>
      </c>
      <c r="G28" s="96">
        <v>12</v>
      </c>
      <c r="H28" s="98" t="s">
        <v>98</v>
      </c>
    </row>
    <row r="29" spans="1:8">
      <c r="A29" s="94" t="s">
        <v>99</v>
      </c>
      <c r="B29" s="95">
        <v>28</v>
      </c>
      <c r="C29" s="96">
        <v>35.632279534109799</v>
      </c>
      <c r="D29" s="96">
        <f t="shared" si="0"/>
        <v>22</v>
      </c>
      <c r="E29" s="96">
        <f t="shared" si="1"/>
        <v>19.954076539101489</v>
      </c>
      <c r="F29" s="97">
        <f t="shared" si="2"/>
        <v>997.70382695507442</v>
      </c>
      <c r="G29" s="96">
        <v>12</v>
      </c>
      <c r="H29" s="98" t="s">
        <v>100</v>
      </c>
    </row>
    <row r="30" spans="1:8">
      <c r="A30" s="94" t="s">
        <v>101</v>
      </c>
      <c r="B30" s="95">
        <v>10</v>
      </c>
      <c r="C30" s="96">
        <v>98.760399334442596</v>
      </c>
      <c r="D30" s="96">
        <f t="shared" si="0"/>
        <v>40</v>
      </c>
      <c r="E30" s="96">
        <f t="shared" si="1"/>
        <v>19.752079866888518</v>
      </c>
      <c r="F30" s="97">
        <f t="shared" si="2"/>
        <v>987.60399334442593</v>
      </c>
      <c r="G30" s="96">
        <v>12</v>
      </c>
      <c r="H30" s="98" t="s">
        <v>103</v>
      </c>
    </row>
    <row r="31" spans="1:8">
      <c r="A31" s="94" t="s">
        <v>104</v>
      </c>
      <c r="B31" s="95">
        <v>6</v>
      </c>
      <c r="C31" s="96">
        <v>178.926788685524</v>
      </c>
      <c r="D31" s="96">
        <f t="shared" si="0"/>
        <v>44</v>
      </c>
      <c r="E31" s="96">
        <f t="shared" si="1"/>
        <v>21.471214642262879</v>
      </c>
      <c r="F31" s="97">
        <f t="shared" si="2"/>
        <v>1073.560732113144</v>
      </c>
      <c r="G31" s="96">
        <v>12</v>
      </c>
      <c r="H31" s="98" t="s">
        <v>105</v>
      </c>
    </row>
    <row r="32" spans="1:8">
      <c r="A32" s="94" t="s">
        <v>106</v>
      </c>
      <c r="B32" s="95">
        <v>7</v>
      </c>
      <c r="C32" s="96">
        <v>137.08402662229599</v>
      </c>
      <c r="D32" s="96">
        <f t="shared" si="0"/>
        <v>43</v>
      </c>
      <c r="E32" s="96">
        <f t="shared" si="1"/>
        <v>19.191763727121437</v>
      </c>
      <c r="F32" s="97">
        <f t="shared" si="2"/>
        <v>959.5881863560719</v>
      </c>
      <c r="G32" s="96">
        <v>12</v>
      </c>
      <c r="H32" s="98" t="s">
        <v>107</v>
      </c>
    </row>
    <row r="33" spans="1:8">
      <c r="A33" s="94" t="s">
        <v>108</v>
      </c>
      <c r="B33" s="95">
        <v>7</v>
      </c>
      <c r="C33" s="96">
        <v>145.037437603993</v>
      </c>
      <c r="D33" s="96">
        <f t="shared" si="0"/>
        <v>43</v>
      </c>
      <c r="E33" s="96">
        <f t="shared" si="1"/>
        <v>20.305241264559019</v>
      </c>
      <c r="F33" s="97">
        <f t="shared" si="2"/>
        <v>1015.262063227951</v>
      </c>
      <c r="G33" s="96">
        <v>12</v>
      </c>
      <c r="H33" s="98" t="s">
        <v>109</v>
      </c>
    </row>
    <row r="34" spans="1:8">
      <c r="A34" s="94" t="s">
        <v>110</v>
      </c>
      <c r="B34" s="95">
        <v>17</v>
      </c>
      <c r="C34" s="96">
        <v>59.276206322795304</v>
      </c>
      <c r="D34" s="96">
        <f t="shared" si="0"/>
        <v>33</v>
      </c>
      <c r="E34" s="96">
        <f t="shared" si="1"/>
        <v>20.153910149750406</v>
      </c>
      <c r="F34" s="97">
        <f t="shared" si="2"/>
        <v>1007.6955074875202</v>
      </c>
      <c r="G34" s="96">
        <v>12</v>
      </c>
      <c r="H34" s="98" t="s">
        <v>111</v>
      </c>
    </row>
    <row r="35" spans="1:8">
      <c r="A35" s="94" t="s">
        <v>112</v>
      </c>
      <c r="B35" s="95">
        <v>8</v>
      </c>
      <c r="C35" s="96">
        <v>132.66638935108199</v>
      </c>
      <c r="D35" s="96">
        <f t="shared" si="0"/>
        <v>42</v>
      </c>
      <c r="E35" s="96">
        <f t="shared" si="1"/>
        <v>21.226622296173119</v>
      </c>
      <c r="F35" s="97">
        <f t="shared" si="2"/>
        <v>1061.3311148086559</v>
      </c>
      <c r="G35" s="96">
        <v>12</v>
      </c>
      <c r="H35" s="98" t="s">
        <v>113</v>
      </c>
    </row>
    <row r="36" spans="1:8">
      <c r="A36" s="94" t="s">
        <v>114</v>
      </c>
      <c r="B36" s="95">
        <v>14</v>
      </c>
      <c r="C36" s="96">
        <v>74.072379367720501</v>
      </c>
      <c r="D36" s="96">
        <f t="shared" ref="D36:D67" si="3">50-B36</f>
        <v>36</v>
      </c>
      <c r="E36" s="96">
        <f t="shared" ref="E36:E67" si="4">(B36*C36)/50</f>
        <v>20.74026622296174</v>
      </c>
      <c r="F36" s="97">
        <f t="shared" ref="F36:F67" si="5">B36*C36</f>
        <v>1037.013311148087</v>
      </c>
      <c r="G36" s="96">
        <v>12</v>
      </c>
      <c r="H36" s="98" t="s">
        <v>116</v>
      </c>
    </row>
    <row r="37" spans="1:8">
      <c r="A37" s="94" t="s">
        <v>117</v>
      </c>
      <c r="B37" s="95">
        <v>4</v>
      </c>
      <c r="C37" s="96">
        <v>252.23377703827001</v>
      </c>
      <c r="D37" s="96">
        <f t="shared" si="3"/>
        <v>46</v>
      </c>
      <c r="E37" s="96">
        <f t="shared" si="4"/>
        <v>20.178702163061601</v>
      </c>
      <c r="F37" s="97">
        <f t="shared" si="5"/>
        <v>1008.93510815308</v>
      </c>
      <c r="G37" s="96">
        <v>12</v>
      </c>
      <c r="H37" s="98" t="s">
        <v>118</v>
      </c>
    </row>
    <row r="38" spans="1:8">
      <c r="A38" s="94" t="s">
        <v>119</v>
      </c>
      <c r="B38" s="95">
        <v>6</v>
      </c>
      <c r="C38" s="96">
        <v>159.080698835275</v>
      </c>
      <c r="D38" s="96">
        <f t="shared" si="3"/>
        <v>44</v>
      </c>
      <c r="E38" s="96">
        <f t="shared" si="4"/>
        <v>19.089683860232999</v>
      </c>
      <c r="F38" s="97">
        <f t="shared" si="5"/>
        <v>954.48419301164995</v>
      </c>
      <c r="G38" s="96">
        <v>12</v>
      </c>
      <c r="H38" s="98" t="s">
        <v>120</v>
      </c>
    </row>
    <row r="39" spans="1:8">
      <c r="A39" s="94" t="s">
        <v>121</v>
      </c>
      <c r="B39" s="95">
        <v>9</v>
      </c>
      <c r="C39" s="96">
        <v>117.487520798669</v>
      </c>
      <c r="D39" s="96">
        <f t="shared" si="3"/>
        <v>41</v>
      </c>
      <c r="E39" s="96">
        <f t="shared" si="4"/>
        <v>21.147753743760418</v>
      </c>
      <c r="F39" s="97">
        <f t="shared" si="5"/>
        <v>1057.3876871880209</v>
      </c>
      <c r="G39" s="96">
        <v>12</v>
      </c>
      <c r="H39" s="98" t="s">
        <v>122</v>
      </c>
    </row>
    <row r="40" spans="1:8">
      <c r="A40" s="94" t="s">
        <v>123</v>
      </c>
      <c r="B40" s="95">
        <v>6</v>
      </c>
      <c r="C40" s="96">
        <v>155.108153078203</v>
      </c>
      <c r="D40" s="96">
        <f t="shared" si="3"/>
        <v>44</v>
      </c>
      <c r="E40" s="96">
        <f t="shared" si="4"/>
        <v>18.612978369384358</v>
      </c>
      <c r="F40" s="97">
        <f t="shared" si="5"/>
        <v>930.64891846921796</v>
      </c>
      <c r="G40" s="96">
        <v>12</v>
      </c>
      <c r="H40" s="98" t="s">
        <v>124</v>
      </c>
    </row>
    <row r="41" spans="1:8">
      <c r="A41" s="94" t="s">
        <v>125</v>
      </c>
      <c r="B41" s="95">
        <v>6</v>
      </c>
      <c r="C41" s="96">
        <v>176.289517470882</v>
      </c>
      <c r="D41" s="96">
        <f t="shared" si="3"/>
        <v>44</v>
      </c>
      <c r="E41" s="96">
        <f t="shared" si="4"/>
        <v>21.154742096505842</v>
      </c>
      <c r="F41" s="97">
        <f t="shared" si="5"/>
        <v>1057.7371048252921</v>
      </c>
      <c r="G41" s="96">
        <v>12</v>
      </c>
      <c r="H41" s="98" t="s">
        <v>126</v>
      </c>
    </row>
    <row r="42" spans="1:8">
      <c r="A42" s="94" t="s">
        <v>127</v>
      </c>
      <c r="B42" s="95">
        <v>11</v>
      </c>
      <c r="C42" s="96">
        <v>90.499168053244603</v>
      </c>
      <c r="D42" s="96">
        <f t="shared" si="3"/>
        <v>39</v>
      </c>
      <c r="E42" s="96">
        <f t="shared" si="4"/>
        <v>19.909816971713813</v>
      </c>
      <c r="F42" s="97">
        <f t="shared" si="5"/>
        <v>995.49084858569063</v>
      </c>
      <c r="G42" s="96">
        <v>12</v>
      </c>
      <c r="H42" s="98" t="s">
        <v>129</v>
      </c>
    </row>
    <row r="43" spans="1:8">
      <c r="A43" s="94" t="s">
        <v>130</v>
      </c>
      <c r="B43" s="95">
        <v>10</v>
      </c>
      <c r="C43" s="96">
        <v>99.413477537437601</v>
      </c>
      <c r="D43" s="96">
        <f t="shared" si="3"/>
        <v>40</v>
      </c>
      <c r="E43" s="96">
        <f t="shared" si="4"/>
        <v>19.882695507487519</v>
      </c>
      <c r="F43" s="97">
        <f t="shared" si="5"/>
        <v>994.13477537437598</v>
      </c>
      <c r="G43" s="96">
        <v>12</v>
      </c>
      <c r="H43" s="98" t="s">
        <v>131</v>
      </c>
    </row>
    <row r="44" spans="1:8">
      <c r="A44" s="94" t="s">
        <v>132</v>
      </c>
      <c r="B44" s="95">
        <v>6</v>
      </c>
      <c r="C44" s="96">
        <v>159.05990016638901</v>
      </c>
      <c r="D44" s="96">
        <f t="shared" si="3"/>
        <v>44</v>
      </c>
      <c r="E44" s="96">
        <f t="shared" si="4"/>
        <v>19.087188019966682</v>
      </c>
      <c r="F44" s="97">
        <f t="shared" si="5"/>
        <v>954.35940099833408</v>
      </c>
      <c r="G44" s="96">
        <v>12</v>
      </c>
      <c r="H44" s="98" t="s">
        <v>134</v>
      </c>
    </row>
    <row r="45" spans="1:8">
      <c r="A45" s="94" t="s">
        <v>135</v>
      </c>
      <c r="B45" s="95">
        <v>6</v>
      </c>
      <c r="C45" s="96">
        <v>164.93344425956701</v>
      </c>
      <c r="D45" s="96">
        <f t="shared" si="3"/>
        <v>44</v>
      </c>
      <c r="E45" s="96">
        <f t="shared" si="4"/>
        <v>19.79201331114804</v>
      </c>
      <c r="F45" s="97">
        <f t="shared" si="5"/>
        <v>989.60066555740207</v>
      </c>
      <c r="G45" s="96">
        <v>12</v>
      </c>
      <c r="H45" s="98" t="s">
        <v>136</v>
      </c>
    </row>
    <row r="46" spans="1:8">
      <c r="A46" s="94" t="s">
        <v>137</v>
      </c>
      <c r="B46" s="95">
        <v>10</v>
      </c>
      <c r="C46" s="96">
        <v>95.2454242928453</v>
      </c>
      <c r="D46" s="96">
        <f t="shared" si="3"/>
        <v>40</v>
      </c>
      <c r="E46" s="96">
        <f t="shared" si="4"/>
        <v>19.04908485856906</v>
      </c>
      <c r="F46" s="97">
        <f t="shared" si="5"/>
        <v>952.45424292845303</v>
      </c>
      <c r="G46" s="96">
        <v>12</v>
      </c>
      <c r="H46" s="98" t="s">
        <v>138</v>
      </c>
    </row>
    <row r="47" spans="1:8">
      <c r="A47" s="94" t="s">
        <v>139</v>
      </c>
      <c r="B47" s="95">
        <v>9</v>
      </c>
      <c r="C47" s="96">
        <v>112.54159733777</v>
      </c>
      <c r="D47" s="96">
        <f t="shared" si="3"/>
        <v>41</v>
      </c>
      <c r="E47" s="96">
        <f t="shared" si="4"/>
        <v>20.257487520798598</v>
      </c>
      <c r="F47" s="97">
        <f t="shared" si="5"/>
        <v>1012.87437603993</v>
      </c>
      <c r="G47" s="96">
        <v>12</v>
      </c>
      <c r="H47" s="98" t="s">
        <v>140</v>
      </c>
    </row>
    <row r="48" spans="1:8">
      <c r="A48" s="94" t="s">
        <v>141</v>
      </c>
      <c r="B48" s="95">
        <v>8</v>
      </c>
      <c r="C48" s="96">
        <v>133.21547420965101</v>
      </c>
      <c r="D48" s="96">
        <f t="shared" si="3"/>
        <v>42</v>
      </c>
      <c r="E48" s="96">
        <f t="shared" si="4"/>
        <v>21.314475873544161</v>
      </c>
      <c r="F48" s="97">
        <f t="shared" si="5"/>
        <v>1065.7237936772081</v>
      </c>
      <c r="G48" s="96">
        <v>12</v>
      </c>
      <c r="H48" s="98" t="s">
        <v>142</v>
      </c>
    </row>
    <row r="49" spans="1:8">
      <c r="A49" s="94" t="s">
        <v>143</v>
      </c>
      <c r="B49" s="95">
        <v>10</v>
      </c>
      <c r="C49" s="96">
        <v>95.648918469218003</v>
      </c>
      <c r="D49" s="96">
        <f t="shared" si="3"/>
        <v>40</v>
      </c>
      <c r="E49" s="96">
        <f t="shared" si="4"/>
        <v>19.129783693843603</v>
      </c>
      <c r="F49" s="97">
        <f t="shared" si="5"/>
        <v>956.48918469218006</v>
      </c>
      <c r="G49" s="96">
        <v>12</v>
      </c>
      <c r="H49" s="98" t="s">
        <v>144</v>
      </c>
    </row>
    <row r="50" spans="1:8">
      <c r="A50" s="94" t="s">
        <v>145</v>
      </c>
      <c r="B50" s="95">
        <v>7</v>
      </c>
      <c r="C50" s="96">
        <v>134.92512479201301</v>
      </c>
      <c r="D50" s="96">
        <f t="shared" si="3"/>
        <v>43</v>
      </c>
      <c r="E50" s="96">
        <f t="shared" si="4"/>
        <v>18.88951747088182</v>
      </c>
      <c r="F50" s="97">
        <f t="shared" si="5"/>
        <v>944.47587354409109</v>
      </c>
      <c r="G50" s="96">
        <v>12</v>
      </c>
      <c r="H50" s="98" t="s">
        <v>146</v>
      </c>
    </row>
    <row r="51" spans="1:8">
      <c r="A51" s="94" t="s">
        <v>147</v>
      </c>
      <c r="B51" s="95">
        <v>7</v>
      </c>
      <c r="C51" s="96">
        <v>135.07903494176401</v>
      </c>
      <c r="D51" s="96">
        <f t="shared" si="3"/>
        <v>43</v>
      </c>
      <c r="E51" s="96">
        <f t="shared" si="4"/>
        <v>18.911064891846962</v>
      </c>
      <c r="F51" s="97">
        <f t="shared" si="5"/>
        <v>945.55324459234805</v>
      </c>
      <c r="G51" s="96">
        <v>12</v>
      </c>
      <c r="H51" s="98" t="s">
        <v>148</v>
      </c>
    </row>
    <row r="52" spans="1:8">
      <c r="A52" s="94" t="s">
        <v>149</v>
      </c>
      <c r="B52" s="95">
        <v>5</v>
      </c>
      <c r="C52" s="96">
        <v>183.70216306156399</v>
      </c>
      <c r="D52" s="96">
        <f t="shared" si="3"/>
        <v>45</v>
      </c>
      <c r="E52" s="96">
        <f t="shared" si="4"/>
        <v>18.370216306156397</v>
      </c>
      <c r="F52" s="97">
        <f t="shared" si="5"/>
        <v>918.51081530781994</v>
      </c>
      <c r="G52" s="96">
        <v>12</v>
      </c>
      <c r="H52" s="98" t="s">
        <v>151</v>
      </c>
    </row>
    <row r="53" spans="1:8">
      <c r="A53" s="94" t="s">
        <v>152</v>
      </c>
      <c r="B53" s="95">
        <v>11</v>
      </c>
      <c r="C53" s="96">
        <v>87.217138103161403</v>
      </c>
      <c r="D53" s="96">
        <f t="shared" si="3"/>
        <v>39</v>
      </c>
      <c r="E53" s="96">
        <f t="shared" si="4"/>
        <v>19.187770382695508</v>
      </c>
      <c r="F53" s="97">
        <f t="shared" si="5"/>
        <v>959.38851913477538</v>
      </c>
      <c r="G53" s="96">
        <v>12</v>
      </c>
      <c r="H53" s="98" t="s">
        <v>153</v>
      </c>
    </row>
    <row r="54" spans="1:8">
      <c r="A54" s="94" t="s">
        <v>154</v>
      </c>
      <c r="B54" s="95">
        <v>46</v>
      </c>
      <c r="C54" s="96">
        <v>20.4034941763727</v>
      </c>
      <c r="D54" s="96">
        <f t="shared" si="3"/>
        <v>4</v>
      </c>
      <c r="E54" s="96">
        <f t="shared" si="4"/>
        <v>18.771214642262883</v>
      </c>
      <c r="F54" s="97">
        <f t="shared" si="5"/>
        <v>938.56073211314424</v>
      </c>
      <c r="G54" s="96">
        <v>12</v>
      </c>
      <c r="H54" s="98" t="s">
        <v>155</v>
      </c>
    </row>
    <row r="55" spans="1:8">
      <c r="A55" s="94" t="s">
        <v>156</v>
      </c>
      <c r="B55" s="95">
        <v>15</v>
      </c>
      <c r="C55" s="96">
        <v>65.428452579034897</v>
      </c>
      <c r="D55" s="96">
        <f t="shared" si="3"/>
        <v>35</v>
      </c>
      <c r="E55" s="96">
        <f t="shared" si="4"/>
        <v>19.628535773710468</v>
      </c>
      <c r="F55" s="97">
        <f t="shared" si="5"/>
        <v>981.42678868552343</v>
      </c>
      <c r="G55" s="96">
        <v>12</v>
      </c>
      <c r="H55" s="98" t="s">
        <v>157</v>
      </c>
    </row>
    <row r="56" spans="1:8">
      <c r="A56" s="94" t="s">
        <v>158</v>
      </c>
      <c r="B56" s="95">
        <v>7</v>
      </c>
      <c r="C56" s="96">
        <v>141.210482529118</v>
      </c>
      <c r="D56" s="96">
        <f t="shared" si="3"/>
        <v>43</v>
      </c>
      <c r="E56" s="96">
        <f t="shared" si="4"/>
        <v>19.769467554076517</v>
      </c>
      <c r="F56" s="97">
        <f t="shared" si="5"/>
        <v>988.47337770382592</v>
      </c>
      <c r="G56" s="96">
        <v>12</v>
      </c>
      <c r="H56" s="98" t="s">
        <v>160</v>
      </c>
    </row>
    <row r="57" spans="1:8">
      <c r="A57" s="94" t="s">
        <v>161</v>
      </c>
      <c r="B57" s="95">
        <v>12</v>
      </c>
      <c r="C57" s="96">
        <v>85.174708818635594</v>
      </c>
      <c r="D57" s="96">
        <f t="shared" si="3"/>
        <v>38</v>
      </c>
      <c r="E57" s="96">
        <f t="shared" si="4"/>
        <v>20.441930116472541</v>
      </c>
      <c r="F57" s="97">
        <f t="shared" si="5"/>
        <v>1022.0965058236271</v>
      </c>
      <c r="G57" s="96">
        <v>12</v>
      </c>
      <c r="H57" s="98" t="s">
        <v>162</v>
      </c>
    </row>
    <row r="58" spans="1:8">
      <c r="A58" s="94" t="s">
        <v>163</v>
      </c>
      <c r="B58" s="95">
        <v>5</v>
      </c>
      <c r="C58" s="96">
        <v>207.67886855241301</v>
      </c>
      <c r="D58" s="96">
        <f t="shared" si="3"/>
        <v>45</v>
      </c>
      <c r="E58" s="96">
        <f t="shared" si="4"/>
        <v>20.767886855241301</v>
      </c>
      <c r="F58" s="97">
        <f t="shared" si="5"/>
        <v>1038.394342762065</v>
      </c>
      <c r="G58" s="96">
        <v>12</v>
      </c>
      <c r="H58" s="98" t="s">
        <v>164</v>
      </c>
    </row>
    <row r="59" spans="1:8">
      <c r="A59" s="94" t="s">
        <v>165</v>
      </c>
      <c r="B59" s="95">
        <v>11</v>
      </c>
      <c r="C59" s="96">
        <v>95.012479201331104</v>
      </c>
      <c r="D59" s="96">
        <f t="shared" si="3"/>
        <v>39</v>
      </c>
      <c r="E59" s="96">
        <f t="shared" si="4"/>
        <v>20.902745424292842</v>
      </c>
      <c r="F59" s="97">
        <f t="shared" si="5"/>
        <v>1045.1372712146422</v>
      </c>
      <c r="G59" s="96">
        <v>12</v>
      </c>
      <c r="H59" s="98" t="s">
        <v>166</v>
      </c>
    </row>
    <row r="60" spans="1:8">
      <c r="A60" s="94" t="s">
        <v>167</v>
      </c>
      <c r="B60" s="95">
        <v>36</v>
      </c>
      <c r="C60" s="96">
        <v>27.603993344426001</v>
      </c>
      <c r="D60" s="96">
        <f t="shared" si="3"/>
        <v>14</v>
      </c>
      <c r="E60" s="96">
        <f t="shared" si="4"/>
        <v>19.874875207986719</v>
      </c>
      <c r="F60" s="97">
        <f t="shared" si="5"/>
        <v>993.743760399336</v>
      </c>
      <c r="G60" s="96">
        <v>12</v>
      </c>
      <c r="H60" s="98" t="s">
        <v>169</v>
      </c>
    </row>
    <row r="61" spans="1:8">
      <c r="A61" s="94" t="s">
        <v>170</v>
      </c>
      <c r="B61" s="95">
        <v>39</v>
      </c>
      <c r="C61" s="96">
        <v>25.678036605657201</v>
      </c>
      <c r="D61" s="96">
        <f t="shared" si="3"/>
        <v>11</v>
      </c>
      <c r="E61" s="96">
        <f t="shared" si="4"/>
        <v>20.028868552412618</v>
      </c>
      <c r="F61" s="97">
        <f t="shared" si="5"/>
        <v>1001.4434276206308</v>
      </c>
      <c r="G61" s="96">
        <v>12</v>
      </c>
      <c r="H61" s="98" t="s">
        <v>171</v>
      </c>
    </row>
    <row r="62" spans="1:8">
      <c r="A62" s="94" t="s">
        <v>172</v>
      </c>
      <c r="B62" s="95">
        <v>9</v>
      </c>
      <c r="C62" s="96">
        <v>111.019134775374</v>
      </c>
      <c r="D62" s="96">
        <f t="shared" si="3"/>
        <v>41</v>
      </c>
      <c r="E62" s="96">
        <f t="shared" si="4"/>
        <v>19.983444259567321</v>
      </c>
      <c r="F62" s="97">
        <f t="shared" si="5"/>
        <v>999.17221297836602</v>
      </c>
      <c r="G62" s="96">
        <v>12</v>
      </c>
      <c r="H62" s="98" t="s">
        <v>173</v>
      </c>
    </row>
    <row r="63" spans="1:8">
      <c r="A63" s="94" t="s">
        <v>174</v>
      </c>
      <c r="B63" s="95">
        <v>19</v>
      </c>
      <c r="C63" s="96">
        <v>51.539101497504198</v>
      </c>
      <c r="D63" s="96">
        <f t="shared" si="3"/>
        <v>31</v>
      </c>
      <c r="E63" s="96">
        <f t="shared" si="4"/>
        <v>19.584858569051597</v>
      </c>
      <c r="F63" s="97">
        <f t="shared" si="5"/>
        <v>979.2429284525798</v>
      </c>
      <c r="G63" s="96">
        <v>12</v>
      </c>
      <c r="H63" s="98" t="s">
        <v>175</v>
      </c>
    </row>
    <row r="64" spans="1:8">
      <c r="A64" s="94" t="s">
        <v>176</v>
      </c>
      <c r="B64" s="95">
        <v>11</v>
      </c>
      <c r="C64" s="96">
        <v>87.583194675540796</v>
      </c>
      <c r="D64" s="96">
        <f t="shared" si="3"/>
        <v>39</v>
      </c>
      <c r="E64" s="96">
        <f t="shared" si="4"/>
        <v>19.268302828618975</v>
      </c>
      <c r="F64" s="97">
        <f t="shared" si="5"/>
        <v>963.41514143094878</v>
      </c>
      <c r="G64" s="96">
        <v>12</v>
      </c>
      <c r="H64" s="98" t="s">
        <v>177</v>
      </c>
    </row>
    <row r="65" spans="1:8">
      <c r="A65" s="94" t="s">
        <v>178</v>
      </c>
      <c r="B65" s="95">
        <v>6</v>
      </c>
      <c r="C65" s="96">
        <v>168.627287853577</v>
      </c>
      <c r="D65" s="96">
        <f t="shared" si="3"/>
        <v>44</v>
      </c>
      <c r="E65" s="96">
        <f t="shared" si="4"/>
        <v>20.235274542429242</v>
      </c>
      <c r="F65" s="97">
        <f t="shared" si="5"/>
        <v>1011.763727121462</v>
      </c>
      <c r="G65" s="96">
        <v>12</v>
      </c>
      <c r="H65" s="98" t="s">
        <v>179</v>
      </c>
    </row>
    <row r="66" spans="1:8">
      <c r="A66" s="94" t="s">
        <v>180</v>
      </c>
      <c r="B66" s="95">
        <v>8</v>
      </c>
      <c r="C66" s="96">
        <v>127.287853577371</v>
      </c>
      <c r="D66" s="96">
        <f t="shared" si="3"/>
        <v>42</v>
      </c>
      <c r="E66" s="96">
        <f t="shared" si="4"/>
        <v>20.36605657237936</v>
      </c>
      <c r="F66" s="97">
        <f t="shared" si="5"/>
        <v>1018.302828618968</v>
      </c>
      <c r="G66" s="96">
        <v>12</v>
      </c>
      <c r="H66" s="98" t="s">
        <v>181</v>
      </c>
    </row>
    <row r="67" spans="1:8">
      <c r="A67" s="94" t="s">
        <v>182</v>
      </c>
      <c r="B67" s="95">
        <v>50</v>
      </c>
      <c r="C67" s="96">
        <v>0</v>
      </c>
      <c r="D67" s="96">
        <f t="shared" si="3"/>
        <v>0</v>
      </c>
      <c r="E67" s="96">
        <f t="shared" si="4"/>
        <v>0</v>
      </c>
      <c r="F67" s="97">
        <f t="shared" si="5"/>
        <v>0</v>
      </c>
      <c r="G67" s="96">
        <v>12</v>
      </c>
      <c r="H67" s="98" t="s">
        <v>184</v>
      </c>
    </row>
    <row r="69" spans="1:8">
      <c r="A69" s="99" t="s">
        <v>194</v>
      </c>
      <c r="B69" s="100">
        <v>64</v>
      </c>
    </row>
    <row r="70" spans="1:8">
      <c r="F70" s="89" t="s">
        <v>195</v>
      </c>
      <c r="G70" s="89" t="s">
        <v>196</v>
      </c>
      <c r="H70" s="101" t="s">
        <v>197</v>
      </c>
    </row>
    <row r="71" spans="1:8">
      <c r="A71" s="102" t="s">
        <v>198</v>
      </c>
      <c r="B71" s="103"/>
      <c r="C71" s="104"/>
      <c r="D71" s="7" t="s">
        <v>199</v>
      </c>
      <c r="E71" s="7"/>
      <c r="F71" s="87">
        <v>1</v>
      </c>
      <c r="G71" s="87" t="s">
        <v>200</v>
      </c>
      <c r="H71" s="105">
        <v>0.20833333333333301</v>
      </c>
    </row>
    <row r="72" spans="1:8">
      <c r="A72" s="106" t="s">
        <v>201</v>
      </c>
      <c r="C72" s="107">
        <v>10</v>
      </c>
      <c r="D72" s="108">
        <f>C72*(B$69*1.1)</f>
        <v>704</v>
      </c>
      <c r="E72" s="109"/>
      <c r="G72" s="87" t="s">
        <v>202</v>
      </c>
      <c r="H72" s="110" t="s">
        <v>203</v>
      </c>
    </row>
    <row r="73" spans="1:8">
      <c r="A73" s="106" t="s">
        <v>204</v>
      </c>
      <c r="C73" s="108">
        <v>50</v>
      </c>
      <c r="D73" s="108">
        <f>C73*(B$69*1.1)</f>
        <v>3520.0000000000005</v>
      </c>
      <c r="E73" s="109"/>
      <c r="H73" s="110"/>
    </row>
    <row r="74" spans="1:8">
      <c r="H74" s="110"/>
    </row>
    <row r="75" spans="1:8">
      <c r="A75" s="102" t="s">
        <v>205</v>
      </c>
      <c r="B75" s="103"/>
      <c r="C75" s="104"/>
      <c r="D75" s="6" t="s">
        <v>206</v>
      </c>
      <c r="E75" s="6"/>
      <c r="F75" s="87">
        <v>2</v>
      </c>
      <c r="G75" s="87" t="s">
        <v>207</v>
      </c>
      <c r="H75" s="105">
        <v>8.3333333333333301E-2</v>
      </c>
    </row>
    <row r="76" spans="1:8">
      <c r="A76" s="111"/>
      <c r="B76" s="111"/>
      <c r="C76" s="111"/>
      <c r="D76" s="112"/>
      <c r="E76" s="112"/>
      <c r="G76" s="87" t="s">
        <v>208</v>
      </c>
      <c r="H76" s="110" t="s">
        <v>203</v>
      </c>
    </row>
    <row r="77" spans="1:8">
      <c r="H77" s="110"/>
    </row>
    <row r="78" spans="1:8">
      <c r="A78" s="102" t="s">
        <v>209</v>
      </c>
      <c r="B78" s="103"/>
      <c r="C78" s="104"/>
      <c r="D78" s="5" t="s">
        <v>210</v>
      </c>
      <c r="E78" s="5"/>
      <c r="F78" s="87">
        <v>3</v>
      </c>
      <c r="G78" s="87" t="s">
        <v>211</v>
      </c>
      <c r="H78" s="105">
        <v>0.33333333333333298</v>
      </c>
    </row>
    <row r="79" spans="1:8">
      <c r="A79" s="113" t="s">
        <v>212</v>
      </c>
      <c r="B79" s="114"/>
      <c r="C79" s="108">
        <v>10</v>
      </c>
      <c r="D79" s="108">
        <f>C79*(B$69*1.1)</f>
        <v>704</v>
      </c>
      <c r="G79" s="87" t="s">
        <v>202</v>
      </c>
      <c r="H79" s="110" t="s">
        <v>203</v>
      </c>
    </row>
    <row r="80" spans="1:8">
      <c r="A80" s="115" t="s">
        <v>213</v>
      </c>
      <c r="B80" s="116"/>
      <c r="C80" s="108">
        <v>10</v>
      </c>
      <c r="D80" s="108">
        <f>C80*(B$69*1.1)</f>
        <v>704</v>
      </c>
      <c r="H80" s="110"/>
    </row>
    <row r="81" spans="1:8">
      <c r="C81" s="117"/>
      <c r="H81" s="110"/>
    </row>
    <row r="82" spans="1:8">
      <c r="H82" s="110"/>
    </row>
    <row r="83" spans="1:8">
      <c r="A83" s="4" t="s">
        <v>214</v>
      </c>
      <c r="B83" s="4"/>
      <c r="C83" s="4"/>
      <c r="D83" s="5" t="s">
        <v>215</v>
      </c>
      <c r="E83" s="5"/>
      <c r="F83" s="87">
        <v>4</v>
      </c>
      <c r="G83" s="87" t="s">
        <v>208</v>
      </c>
      <c r="H83" s="105">
        <v>0.20833333333333301</v>
      </c>
    </row>
    <row r="84" spans="1:8">
      <c r="A84" s="3" t="s">
        <v>216</v>
      </c>
      <c r="B84" s="3"/>
      <c r="C84" s="108">
        <v>1.25</v>
      </c>
      <c r="D84" s="108">
        <f>C84*(B$69*1.1)</f>
        <v>88</v>
      </c>
      <c r="G84" s="87" t="s">
        <v>217</v>
      </c>
      <c r="H84" s="105">
        <v>0.625</v>
      </c>
    </row>
    <row r="85" spans="1:8">
      <c r="A85" s="118" t="s">
        <v>218</v>
      </c>
      <c r="B85" s="119"/>
      <c r="C85" s="108">
        <v>2.75</v>
      </c>
      <c r="D85" s="108">
        <f>C85*(B$69*1.1)</f>
        <v>193.60000000000002</v>
      </c>
      <c r="G85" s="87" t="s">
        <v>219</v>
      </c>
      <c r="H85" s="105">
        <v>0.625</v>
      </c>
    </row>
    <row r="86" spans="1:8">
      <c r="A86" s="2" t="s">
        <v>220</v>
      </c>
      <c r="B86" s="2"/>
      <c r="C86" s="108">
        <v>1</v>
      </c>
      <c r="D86" s="108">
        <f>C86*(B$69*1.1)</f>
        <v>70.400000000000006</v>
      </c>
      <c r="G86" s="87" t="s">
        <v>202</v>
      </c>
      <c r="H86" s="110" t="s">
        <v>203</v>
      </c>
    </row>
    <row r="87" spans="1:8">
      <c r="H87" s="110"/>
    </row>
    <row r="88" spans="1:8">
      <c r="A88" s="1" t="s">
        <v>221</v>
      </c>
      <c r="B88" s="1"/>
      <c r="C88" s="1"/>
      <c r="D88" s="5" t="s">
        <v>206</v>
      </c>
      <c r="E88" s="5"/>
      <c r="F88" s="87">
        <v>5</v>
      </c>
      <c r="G88" s="87" t="s">
        <v>222</v>
      </c>
      <c r="H88" s="120" t="s">
        <v>223</v>
      </c>
    </row>
    <row r="89" spans="1:8">
      <c r="A89" s="118" t="s">
        <v>224</v>
      </c>
      <c r="B89" s="119"/>
      <c r="C89" s="107">
        <v>48</v>
      </c>
      <c r="D89" s="108">
        <f>C89*(B$69*1.1)</f>
        <v>3379.2000000000003</v>
      </c>
      <c r="G89" s="87" t="s">
        <v>202</v>
      </c>
      <c r="H89" s="110" t="s">
        <v>203</v>
      </c>
    </row>
    <row r="90" spans="1:8">
      <c r="A90" s="122" t="s">
        <v>225</v>
      </c>
      <c r="B90" s="122"/>
      <c r="C90" s="108">
        <v>2</v>
      </c>
      <c r="D90" s="108">
        <f>C90*(B$69*1.1)</f>
        <v>140.80000000000001</v>
      </c>
      <c r="H90" s="120"/>
    </row>
    <row r="91" spans="1:8">
      <c r="H91" s="120"/>
    </row>
    <row r="92" spans="1:8">
      <c r="A92" s="1" t="s">
        <v>226</v>
      </c>
      <c r="B92" s="1"/>
      <c r="C92" s="1"/>
      <c r="D92" s="5" t="s">
        <v>227</v>
      </c>
      <c r="E92" s="5"/>
      <c r="H92" s="120"/>
    </row>
    <row r="93" spans="1:8">
      <c r="A93" s="121"/>
      <c r="B93" s="121"/>
      <c r="C93" s="121"/>
      <c r="D93" s="109"/>
      <c r="E93" s="109"/>
      <c r="H93" s="120"/>
    </row>
    <row r="94" spans="1:8">
      <c r="A94" s="1" t="s">
        <v>228</v>
      </c>
      <c r="B94" s="1"/>
      <c r="C94" s="1"/>
      <c r="D94" s="6" t="s">
        <v>229</v>
      </c>
      <c r="E94" s="6"/>
      <c r="H94" s="120"/>
    </row>
    <row r="95" spans="1:8">
      <c r="A95" s="121"/>
      <c r="B95" s="121"/>
      <c r="C95" s="121"/>
      <c r="D95" s="5" t="s">
        <v>230</v>
      </c>
      <c r="E95" s="5"/>
      <c r="H95" s="120"/>
    </row>
    <row r="96" spans="1:8">
      <c r="A96" s="121"/>
      <c r="B96" s="121"/>
      <c r="C96" s="121"/>
      <c r="D96" s="109"/>
      <c r="E96" s="109"/>
      <c r="H96" s="120"/>
    </row>
    <row r="97" spans="1:8">
      <c r="A97" s="1" t="s">
        <v>213</v>
      </c>
      <c r="B97" s="1"/>
      <c r="C97" s="1"/>
      <c r="D97" s="6" t="s">
        <v>231</v>
      </c>
      <c r="E97" s="6"/>
      <c r="H97" s="120"/>
    </row>
    <row r="98" spans="1:8">
      <c r="H98" s="120"/>
    </row>
    <row r="99" spans="1:8">
      <c r="A99" s="123" t="s">
        <v>232</v>
      </c>
      <c r="B99" s="123"/>
      <c r="C99" s="123"/>
      <c r="D99" s="6" t="s">
        <v>215</v>
      </c>
      <c r="E99" s="6"/>
      <c r="F99" s="87">
        <v>6</v>
      </c>
      <c r="G99" s="87" t="s">
        <v>208</v>
      </c>
      <c r="H99" s="120" t="s">
        <v>233</v>
      </c>
    </row>
    <row r="100" spans="1:8">
      <c r="A100" s="124" t="s">
        <v>234</v>
      </c>
      <c r="B100" s="124"/>
      <c r="C100" s="108">
        <v>4</v>
      </c>
      <c r="D100" s="108">
        <f>C100*(B$69*1.1)</f>
        <v>281.60000000000002</v>
      </c>
      <c r="G100" s="87" t="s">
        <v>219</v>
      </c>
      <c r="H100" s="120" t="s">
        <v>235</v>
      </c>
    </row>
    <row r="101" spans="1:8">
      <c r="A101" s="125" t="s">
        <v>236</v>
      </c>
      <c r="B101" s="125"/>
      <c r="C101" s="108">
        <v>0.5</v>
      </c>
      <c r="D101" s="108">
        <f>C101*(B$69*1.1)</f>
        <v>35.200000000000003</v>
      </c>
      <c r="G101" s="87" t="s">
        <v>202</v>
      </c>
      <c r="H101" s="110" t="s">
        <v>203</v>
      </c>
    </row>
    <row r="102" spans="1:8">
      <c r="A102" s="122" t="s">
        <v>237</v>
      </c>
      <c r="B102" s="122"/>
      <c r="C102" s="108">
        <v>0.5</v>
      </c>
      <c r="D102" s="108">
        <f>C102*(B$69*1.1)</f>
        <v>35.200000000000003</v>
      </c>
      <c r="H102" s="120"/>
    </row>
    <row r="103" spans="1:8">
      <c r="H103" s="120"/>
    </row>
    <row r="104" spans="1:8">
      <c r="A104" s="1" t="s">
        <v>238</v>
      </c>
      <c r="B104" s="1"/>
      <c r="C104" s="1"/>
      <c r="D104" s="6" t="s">
        <v>239</v>
      </c>
      <c r="E104" s="6"/>
      <c r="F104" s="87">
        <v>7</v>
      </c>
      <c r="G104" s="87" t="s">
        <v>208</v>
      </c>
      <c r="H104" s="120" t="s">
        <v>233</v>
      </c>
    </row>
    <row r="105" spans="1:8">
      <c r="A105" s="3" t="s">
        <v>213</v>
      </c>
      <c r="B105" s="3"/>
      <c r="C105" s="107">
        <v>4.5</v>
      </c>
      <c r="D105" s="108">
        <f>C105*(B$69)</f>
        <v>288</v>
      </c>
      <c r="G105" s="87" t="s">
        <v>202</v>
      </c>
      <c r="H105" s="110" t="s">
        <v>203</v>
      </c>
    </row>
    <row r="106" spans="1:8">
      <c r="A106" s="125" t="s">
        <v>240</v>
      </c>
      <c r="B106" s="125"/>
      <c r="C106" s="108">
        <v>6</v>
      </c>
      <c r="D106" s="108">
        <f>C106*(B$69)</f>
        <v>384</v>
      </c>
      <c r="H106" s="120"/>
    </row>
    <row r="107" spans="1:8">
      <c r="A107" s="122" t="s">
        <v>241</v>
      </c>
      <c r="B107" s="122"/>
      <c r="C107" s="108">
        <v>1.5</v>
      </c>
      <c r="D107" s="108">
        <f>C107*(B$69)</f>
        <v>96</v>
      </c>
      <c r="H107" s="120"/>
    </row>
    <row r="108" spans="1:8">
      <c r="H108" s="120"/>
    </row>
    <row r="109" spans="1:8">
      <c r="A109" s="123" t="s">
        <v>242</v>
      </c>
      <c r="B109" s="123"/>
      <c r="C109" s="123"/>
      <c r="D109" s="6" t="s">
        <v>243</v>
      </c>
      <c r="E109" s="6"/>
      <c r="F109" s="87">
        <v>8</v>
      </c>
      <c r="G109" s="87" t="s">
        <v>244</v>
      </c>
      <c r="H109" s="120" t="s">
        <v>235</v>
      </c>
    </row>
    <row r="110" spans="1:8">
      <c r="A110" s="124" t="s">
        <v>245</v>
      </c>
      <c r="B110" s="124"/>
      <c r="C110" s="108">
        <v>69</v>
      </c>
      <c r="D110" s="108">
        <f>C110*(B$69)</f>
        <v>4416</v>
      </c>
      <c r="G110" s="87" t="s">
        <v>202</v>
      </c>
      <c r="H110" s="110" t="s">
        <v>203</v>
      </c>
    </row>
    <row r="111" spans="1:8">
      <c r="A111" s="122" t="s">
        <v>246</v>
      </c>
      <c r="B111" s="122"/>
      <c r="C111" s="108">
        <v>1</v>
      </c>
      <c r="D111" s="108">
        <f>C111*(B$69)</f>
        <v>64</v>
      </c>
      <c r="H111" s="120"/>
    </row>
    <row r="112" spans="1:8">
      <c r="H112" s="120"/>
    </row>
    <row r="113" spans="1:8">
      <c r="A113" s="1" t="s">
        <v>226</v>
      </c>
      <c r="B113" s="1"/>
      <c r="C113" s="1"/>
      <c r="D113" s="6" t="s">
        <v>247</v>
      </c>
      <c r="E113" s="6"/>
      <c r="H113" s="120"/>
    </row>
    <row r="114" spans="1:8">
      <c r="A114" s="121"/>
      <c r="B114" s="121"/>
      <c r="C114" s="121"/>
      <c r="D114" s="109"/>
      <c r="E114" s="109"/>
      <c r="H114" s="120"/>
    </row>
    <row r="115" spans="1:8">
      <c r="A115" s="1" t="s">
        <v>228</v>
      </c>
      <c r="B115" s="1"/>
      <c r="C115" s="1"/>
      <c r="D115" s="6" t="s">
        <v>229</v>
      </c>
      <c r="E115" s="6"/>
      <c r="H115" s="120"/>
    </row>
    <row r="116" spans="1:8">
      <c r="A116" s="121"/>
      <c r="B116" s="121"/>
      <c r="C116" s="121"/>
      <c r="D116" s="5" t="s">
        <v>230</v>
      </c>
      <c r="E116" s="5"/>
      <c r="H116" s="120"/>
    </row>
    <row r="117" spans="1:8">
      <c r="A117" s="121"/>
      <c r="B117" s="121"/>
      <c r="C117" s="121"/>
      <c r="D117" s="109"/>
      <c r="E117" s="109"/>
      <c r="H117" s="120"/>
    </row>
    <row r="118" spans="1:8">
      <c r="A118" s="1" t="s">
        <v>213</v>
      </c>
      <c r="B118" s="1"/>
      <c r="C118" s="1"/>
      <c r="D118" s="6" t="s">
        <v>248</v>
      </c>
      <c r="E118" s="6"/>
      <c r="H118" s="120"/>
    </row>
    <row r="119" spans="1:8">
      <c r="H119" s="120"/>
    </row>
    <row r="120" spans="1:8">
      <c r="A120" s="123" t="s">
        <v>249</v>
      </c>
      <c r="B120" s="123"/>
      <c r="C120" s="123"/>
      <c r="D120" s="6" t="s">
        <v>250</v>
      </c>
      <c r="E120" s="6"/>
      <c r="F120" s="87">
        <v>9</v>
      </c>
      <c r="G120" s="87" t="s">
        <v>251</v>
      </c>
      <c r="H120" s="120" t="s">
        <v>235</v>
      </c>
    </row>
    <row r="121" spans="1:8">
      <c r="A121" s="124" t="s">
        <v>252</v>
      </c>
      <c r="B121" s="124"/>
      <c r="C121" s="107">
        <v>10</v>
      </c>
      <c r="D121" s="108">
        <f>C121*(B$69)</f>
        <v>640</v>
      </c>
      <c r="G121" s="87" t="s">
        <v>253</v>
      </c>
      <c r="H121" s="120" t="s">
        <v>254</v>
      </c>
    </row>
    <row r="122" spans="1:8">
      <c r="A122" s="118" t="s">
        <v>255</v>
      </c>
      <c r="B122" s="119"/>
      <c r="C122" s="108">
        <v>8</v>
      </c>
      <c r="D122" s="108">
        <f>C122*(B$69)</f>
        <v>512</v>
      </c>
      <c r="F122" s="126" t="s">
        <v>256</v>
      </c>
      <c r="G122" s="87" t="s">
        <v>253</v>
      </c>
      <c r="H122" s="120" t="s">
        <v>257</v>
      </c>
    </row>
    <row r="123" spans="1:8">
      <c r="A123" s="118" t="s">
        <v>258</v>
      </c>
      <c r="B123" s="119"/>
      <c r="C123" s="108">
        <v>0.5</v>
      </c>
      <c r="D123" s="108">
        <f>C123*(B$69)</f>
        <v>32</v>
      </c>
      <c r="F123" s="126"/>
      <c r="G123" s="87" t="s">
        <v>259</v>
      </c>
      <c r="H123" s="120" t="s">
        <v>260</v>
      </c>
    </row>
    <row r="124" spans="1:8">
      <c r="A124" s="125" t="s">
        <v>261</v>
      </c>
      <c r="B124" s="125"/>
      <c r="C124" s="108">
        <v>1</v>
      </c>
      <c r="D124" s="108">
        <f>C124*(B$69)</f>
        <v>64</v>
      </c>
      <c r="F124" s="127" t="s">
        <v>262</v>
      </c>
      <c r="G124" s="87" t="s">
        <v>253</v>
      </c>
      <c r="H124" s="120" t="s">
        <v>257</v>
      </c>
    </row>
    <row r="125" spans="1:8">
      <c r="A125" s="122" t="s">
        <v>213</v>
      </c>
      <c r="B125" s="122"/>
      <c r="C125" s="108">
        <v>65.5</v>
      </c>
      <c r="D125" s="108">
        <f>C125*(B$69)</f>
        <v>4192</v>
      </c>
      <c r="F125" s="127"/>
      <c r="G125" s="87" t="s">
        <v>200</v>
      </c>
      <c r="H125" s="120" t="s">
        <v>260</v>
      </c>
    </row>
    <row r="126" spans="1:8">
      <c r="A126" s="119"/>
      <c r="B126" s="119"/>
      <c r="G126" s="87" t="s">
        <v>200</v>
      </c>
      <c r="H126" s="120" t="s">
        <v>263</v>
      </c>
    </row>
    <row r="127" spans="1:8">
      <c r="G127" s="87" t="s">
        <v>202</v>
      </c>
      <c r="H127" s="110" t="s">
        <v>203</v>
      </c>
    </row>
    <row r="128" spans="1:8">
      <c r="A128" s="1" t="s">
        <v>226</v>
      </c>
      <c r="B128" s="1"/>
      <c r="C128" s="1"/>
      <c r="D128" s="6" t="s">
        <v>247</v>
      </c>
      <c r="E128" s="6"/>
      <c r="H128" s="120"/>
    </row>
    <row r="129" spans="1:8">
      <c r="A129" s="121"/>
      <c r="B129" s="121"/>
      <c r="C129" s="121"/>
      <c r="D129" s="109"/>
      <c r="E129" s="109"/>
      <c r="H129" s="120"/>
    </row>
    <row r="130" spans="1:8">
      <c r="A130" s="1" t="s">
        <v>228</v>
      </c>
      <c r="B130" s="1"/>
      <c r="C130" s="1"/>
      <c r="D130" s="6" t="s">
        <v>229</v>
      </c>
      <c r="E130" s="6"/>
      <c r="H130" s="120"/>
    </row>
    <row r="131" spans="1:8">
      <c r="A131" s="121"/>
      <c r="B131" s="121"/>
      <c r="C131" s="121"/>
      <c r="D131" s="5" t="s">
        <v>230</v>
      </c>
      <c r="E131" s="5"/>
      <c r="H131" s="120"/>
    </row>
    <row r="132" spans="1:8">
      <c r="A132" s="121"/>
      <c r="B132" s="121"/>
      <c r="C132" s="121"/>
      <c r="D132" s="109"/>
      <c r="E132" s="109"/>
      <c r="H132" s="120"/>
    </row>
    <row r="133" spans="1:8">
      <c r="A133" s="1" t="s">
        <v>264</v>
      </c>
      <c r="B133" s="1"/>
      <c r="C133" s="1"/>
      <c r="D133" s="6" t="s">
        <v>265</v>
      </c>
      <c r="E133" s="6"/>
      <c r="H133" s="120"/>
    </row>
    <row r="134" spans="1:8">
      <c r="H134" s="120"/>
    </row>
    <row r="135" spans="1:8">
      <c r="H135" s="120"/>
    </row>
    <row r="136" spans="1:8">
      <c r="H136" s="120"/>
    </row>
  </sheetData>
  <mergeCells count="54">
    <mergeCell ref="A133:C133"/>
    <mergeCell ref="D133:E133"/>
    <mergeCell ref="A128:C128"/>
    <mergeCell ref="D128:E128"/>
    <mergeCell ref="A130:C130"/>
    <mergeCell ref="D130:E130"/>
    <mergeCell ref="D131:E131"/>
    <mergeCell ref="A121:B121"/>
    <mergeCell ref="F122:F123"/>
    <mergeCell ref="A124:B124"/>
    <mergeCell ref="F124:F125"/>
    <mergeCell ref="A125:B125"/>
    <mergeCell ref="D116:E116"/>
    <mergeCell ref="A118:C118"/>
    <mergeCell ref="D118:E118"/>
    <mergeCell ref="A120:C120"/>
    <mergeCell ref="D120:E120"/>
    <mergeCell ref="A110:B110"/>
    <mergeCell ref="A111:B111"/>
    <mergeCell ref="A113:C113"/>
    <mergeCell ref="D113:E113"/>
    <mergeCell ref="A115:C115"/>
    <mergeCell ref="D115:E115"/>
    <mergeCell ref="A105:B105"/>
    <mergeCell ref="A106:B106"/>
    <mergeCell ref="A107:B107"/>
    <mergeCell ref="A109:C109"/>
    <mergeCell ref="D109:E109"/>
    <mergeCell ref="A100:B100"/>
    <mergeCell ref="A101:B101"/>
    <mergeCell ref="A102:B102"/>
    <mergeCell ref="A104:C104"/>
    <mergeCell ref="D104:E104"/>
    <mergeCell ref="D95:E95"/>
    <mergeCell ref="A97:C97"/>
    <mergeCell ref="D97:E97"/>
    <mergeCell ref="A99:C99"/>
    <mergeCell ref="D99:E99"/>
    <mergeCell ref="A90:B90"/>
    <mergeCell ref="A92:C92"/>
    <mergeCell ref="D92:E92"/>
    <mergeCell ref="A94:C94"/>
    <mergeCell ref="D94:E94"/>
    <mergeCell ref="A83:C83"/>
    <mergeCell ref="D83:E83"/>
    <mergeCell ref="A84:B84"/>
    <mergeCell ref="A86:B86"/>
    <mergeCell ref="A88:C88"/>
    <mergeCell ref="D88:E88"/>
    <mergeCell ref="B1:H1"/>
    <mergeCell ref="B2:H2"/>
    <mergeCell ref="D71:E71"/>
    <mergeCell ref="D75:E75"/>
    <mergeCell ref="D78:E78"/>
  </mergeCells>
  <pageMargins left="0.7" right="0.7" top="0.75" bottom="0.75" header="0.511811023622047" footer="0.511811023622047"/>
  <pageSetup fitToHeight="0" orientation="portrait" horizontalDpi="300" verticalDpi="300"/>
  <rowBreaks count="1" manualBreakCount="1">
    <brk id="9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Normal="100" workbookViewId="0"/>
  </sheetViews>
  <sheetFormatPr defaultColWidth="10.7109375" defaultRowHeight="15"/>
  <sheetData>
    <row r="1" spans="1:1">
      <c r="A1" t="s">
        <v>266</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23</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ExtractionPrint</vt:lpstr>
      <vt:lpstr>Prep_data</vt:lpstr>
      <vt:lpstr>NuGen mRNA prep</vt:lpstr>
      <vt:lpstr>Sheet2</vt:lpstr>
      <vt:lpstr>Prep_data!Print_Titles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Laura.Spencer</cp:lastModifiedBy>
  <cp:revision>3</cp:revision>
  <dcterms:created xsi:type="dcterms:W3CDTF">2015-06-05T18:17:20Z</dcterms:created>
  <dcterms:modified xsi:type="dcterms:W3CDTF">2025-08-12T23:19:00Z</dcterms:modified>
  <dc:language>en-US</dc:language>
</cp:coreProperties>
</file>